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6fce1ea83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结论" sheetId="1" r:id="R6e5d9a8753e842ab"/>
    <x:sheet xmlns:r="http://schemas.openxmlformats.org/officeDocument/2006/relationships" name="射频渠道" sheetId="2" r:id="R1da9a25e2eb34feb"/>
    <x:sheet xmlns:r="http://schemas.openxmlformats.org/officeDocument/2006/relationships" name="控制电源渠道" sheetId="3" r:id="R1e897026b59d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10"/>
      <x:color rgb="FF0070C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D716F"/>
      </x:patternFill>
    </x:fill>
    <x:fill>
      <x:patternFill patternType="solid">
        <x:fgColor rgb="FFE8F3F3"/>
      </x:patternFill>
    </x:fill>
    <x:fill>
      <x:patternFill patternType="solid">
        <x:fgColor rgb="FFFFFFFF"/>
      </x:patternFill>
    </x:fill>
    <x:fill>
      <x:patternFill patternType="solid">
        <x:fgColor rgb="FFF1F6F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efdb4e4374179" /><Relationship Type="http://schemas.openxmlformats.org/officeDocument/2006/relationships/theme" Target="/xl/theme/theme1.xml" Id="Rc4de6cd8e91a4f9c" /><Relationship Type="http://schemas.openxmlformats.org/officeDocument/2006/relationships/sharedStrings" Target="/xl/sharedStrings.xml" Id="R4e7d9a8de2e94354" /><Relationship Type="http://schemas.openxmlformats.org/officeDocument/2006/relationships/worksheet" Target="/xl/worksheets/sheet1.xml" Id="R6e5d9a8753e842ab" /><Relationship Type="http://schemas.openxmlformats.org/officeDocument/2006/relationships/worksheet" Target="/xl/worksheets/sheet2.xml" Id="R1da9a25e2eb34feb" /><Relationship Type="http://schemas.openxmlformats.org/officeDocument/2006/relationships/worksheet" Target="/xl/worksheets/sheet3.xml" Id="R1e897026b59d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.1299991607666" hidden="0" customWidth="1"/>
    <x:col min="2" max="2" width="25.6299991607666" hidden="0" customWidth="1"/>
    <x:col min="3" max="3" width="18.75" hidden="0" customWidth="1"/>
    <x:col min="4" max="4" width="15.630000114440918" hidden="0" customWidth="1"/>
    <x:col min="5" max="5" width="15" hidden="0" customWidth="1"/>
    <x:col min="6" max="6" width="21.25" hidden="0" customWidth="1"/>
    <x:col min="7" max="7" width="18.75" hidden="0" customWidth="1"/>
    <x:col min="8" max="8" width="15.630000114440918" hidden="0" customWidth="1"/>
    <x:col min="9" max="9" width="18.75" hidden="0" customWidth="1"/>
    <x:col min="10" max="10" width="37.5" hidden="0" customWidth="1"/>
  </x:cols>
  <x:sheetData>
    <x:row r="1" ht="33" customHeight="1">
      <x:c r="A1" s="5" t="str">
        <x:v>10–11 GHz / 16路：采购核验与降本候选 v2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3.5" customHeight="1">
      <x:c r="A2" s="3" t="str">
        <x:v>结论：QPA2612优先作为10 W级脉冲PA候选；PMA6-123-10W+仅作接受约8 W典型输出时的低价备选。整套现货BOM尚未闭合。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9" customHeight="1">
      <x:c r="A3" s="3" t="str">
        <x:v>本文件补充并修正v1采购判断，不更改原理图，不把旧链路增益/静态功耗计算套用于新PA，也不宣称所有器件已可买齐。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31.5" customHeight="1">
      <x:c r="A5" s="7" t="str">
        <x:v>末级PA</x:v>
      </x:c>
      <x:c r="B5" s="7" t="str">
        <x:v>频率 GHz</x:v>
      </x:c>
      <x:c r="C5" s="7" t="str">
        <x:v>单价 USD</x:v>
      </x:c>
      <x:c r="D5" s="7" t="str">
        <x:v>价格档/只</x:v>
      </x:c>
      <x:c r="E5" s="7" t="str">
        <x:v>装配数量</x:v>
      </x:c>
      <x:c r="F5" s="7" t="str">
        <x:v>按报价档采购量</x:v>
      </x:c>
      <x:c r="G5" s="7" t="str">
        <x:v>PA采购额 USD</x:v>
      </x:c>
      <x:c r="H5" s="7" t="str">
        <x:v>库存证据</x:v>
      </x:c>
      <x:c r="I5" s="7" t="str">
        <x:v>建议</x:v>
      </x:c>
      <x:c r="J5" s="7" t="str">
        <x:v>详情</x:v>
      </x:c>
    </x:row>
    <x:row r="6" ht="52.5" customHeight="1">
      <x:c r="A6" s="3" t="str">
        <x:v>QPA2962</x:v>
      </x:c>
      <x:c r="B6" s="3" t="str">
        <x:v>2–20</x:v>
      </x:c>
      <x:c r="C6" s="8" t="n">
        <x:v>612.95</x:v>
      </x:c>
      <x:c r="D6" s="3" t="n">
        <x:v>1</x:v>
      </x:c>
      <x:c r="E6" s="3" t="n">
        <x:v>16</x:v>
      </x:c>
      <x:c r="F6" s="3" t="n">
        <x:v>16</x:v>
      </x:c>
      <x:c r="G6" s="27" t="n">
        <x:f>C6*F6</x:f>
        <x:v>9807.2</x:v>
      </x:c>
      <x:c r="H6" s="25" t="str">
        <x:v>详情55</x:v>
      </x:c>
      <x:c r="I6" s="25" t="str">
        <x:v>成本高</x:v>
      </x:c>
      <x:c r="J6" s="3" t="str">
        <x:v>原方案对照</x:v>
      </x:c>
    </x:row>
    <x:row r="7" ht="52.5" customHeight="1">
      <x:c r="A7" s="3" t="str">
        <x:v>QPA2612</x:v>
      </x:c>
      <x:c r="B7" s="3" t="str">
        <x:v>8–12</x:v>
      </x:c>
      <x:c r="C7" s="8" t="n">
        <x:v>295.31</x:v>
      </x:c>
      <x:c r="D7" s="3" t="n">
        <x:v>1</x:v>
      </x:c>
      <x:c r="E7" s="3" t="n">
        <x:v>16</x:v>
      </x:c>
      <x:c r="F7" s="3" t="n">
        <x:v>16</x:v>
      </x:c>
      <x:c r="G7" s="27" t="n">
        <x:f>C7*F7</x:f>
        <x:v>4724.96</x:v>
      </x:c>
      <x:c r="H7" s="25" t="str">
        <x:v>详情66</x:v>
      </x:c>
      <x:c r="I7" s="25" t="str">
        <x:v>优先试样</x:v>
      </x:c>
      <x:c r="J7" s="3" t="str">
        <x:v>12 W级：100µs、10%占空比测试</x:v>
      </x:c>
    </x:row>
    <x:row r="8" ht="52.5" customHeight="1">
      <x:c r="A8" s="3" t="str">
        <x:v>PMA6-123-10W+</x:v>
      </x:c>
      <x:c r="B8" s="3" t="str">
        <x:v>10–11.7</x:v>
      </x:c>
      <x:c r="C8" s="8" t="n">
        <x:v>107.04</x:v>
      </x:c>
      <x:c r="D8" s="3" t="n">
        <x:v>20</x:v>
      </x:c>
      <x:c r="E8" s="3" t="n">
        <x:v>16</x:v>
      </x:c>
      <x:c r="F8" s="3" t="n">
        <x:v>20</x:v>
      </x:c>
      <x:c r="G8" s="27" t="n">
        <x:f>C8*F8</x:f>
        <x:v>2140.8</x:v>
      </x:c>
      <x:c r="H8" s="25" t="str">
        <x:v>索引&gt;100</x:v>
      </x:c>
      <x:c r="I8" s="25" t="str">
        <x:v>降功率备选</x:v>
      </x:c>
      <x:c r="J8" s="3" t="str">
        <x:v>Psat典型39.1 dBm≈8.13 W；不等于10 W保证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</x:row>
    <x:row r="10" ht="33.75" customHeight="1">
      <x:c r="A10" s="10" t="str">
        <x:v>QPA2612相对QPA2962，16只PA节省USD</x:v>
      </x:c>
      <x:c r="B10" s="10"/>
      <x:c r="C10" s="10"/>
      <x:c r="D10" s="10"/>
      <x:c r="E10" s="11" t="n">
        <x:f>G6-G7</x:f>
        <x:v>5082.240000000001</x:v>
      </x:c>
      <x:c r="F10" s="10" t="str">
        <x:v>单只价格降幅</x:v>
      </x:c>
      <x:c r="G10" s="10"/>
      <x:c r="H10" s="10"/>
      <x:c r="I10" s="12" t="n">
        <x:f>1-C7/C6</x:f>
        <x:v>0.5182151888408517</x:v>
      </x:c>
      <x:c r="J10" s="10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</x:row>
    <x:row r="12" ht="33" customHeight="1">
      <x:c r="A12" s="5" t="str">
        <x:v>替换条件与尚未闭合项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 ht="63.75" customHeight="1">
      <x:c r="A13" s="13" t="str">
        <x:v>功率口径</x:v>
      </x:c>
      <x:c r="B13" s="13"/>
      <x:c r="C13" s="13" t="str">
        <x:v>QPA2612数据手册Rev.B电气表及大信号曲线为100 µs、10%占空比条件。CW有绝对最大/热参数，不代表保证全频全温10 W连续输出。严格天线口10 W还应加回环行器、耦合器和走线损耗。</x:v>
      </x:c>
      <x:c r="D13" s="13"/>
      <x:c r="E13" s="13"/>
      <x:c r="F13" s="13"/>
      <x:c r="G13" s="13"/>
      <x:c r="H13" s="13"/>
      <x:c r="I13" s="13"/>
      <x:c r="J13" s="14" t="str">
        <x:v>https://www.mouser.com/datasheet/2/412/QPA2612_Data_Sheet-1771779.pdf</x:v>
      </x:c>
    </x:row>
    <x:row r="14" ht="63.75" customHeight="1">
      <x:c r="A14" s="15" t="str">
        <x:v>驱动重配</x:v>
      </x:c>
      <x:c r="B14" s="15"/>
      <x:c r="C14" s="15" t="str">
        <x:v>QPA2612推荐测试Pin=18 dBm，绝对最大CW输入21 dBm；不能套用QPA2962约27 dBm输入链路。24 V/250 mA为静态6 W，RF驱动时漏极电流显著增加，不能以6 W设计供电或散热。</x:v>
      </x:c>
      <x:c r="D14" s="15"/>
      <x:c r="E14" s="15"/>
      <x:c r="F14" s="15"/>
      <x:c r="G14" s="15"/>
      <x:c r="H14" s="15"/>
      <x:c r="I14" s="15"/>
      <x:c r="J14" s="16" t="str">
        <x:v>https://www.qorvo.com/products/p/QPA2612</x:v>
      </x:c>
    </x:row>
    <x:row r="15" ht="63.75" customHeight="1">
      <x:c r="A15" s="13" t="str">
        <x:v>PA低价备选</x:v>
      </x:c>
      <x:c r="B15" s="13"/>
      <x:c r="C15" s="13" t="str">
        <x:v>PMA6-123-10W+典型Psat39.1 dBm、P1dB约38.6 dBm。型号中的10W不能作为性能保证；此型号只能在降低输出目标后使用。</x:v>
      </x:c>
      <x:c r="D15" s="13"/>
      <x:c r="E15" s="13"/>
      <x:c r="F15" s="13"/>
      <x:c r="G15" s="13"/>
      <x:c r="H15" s="13"/>
      <x:c r="I15" s="13"/>
      <x:c r="J15" s="14" t="str">
        <x:v>https://www.minicircuits.com/pdfs/PMA6-123-10W%2B.pdf</x:v>
      </x:c>
    </x:row>
    <x:row r="16" ht="63.75" customHeight="1">
      <x:c r="A16" s="15" t="str">
        <x:v>移相采购变化</x:v>
      </x:c>
      <x:c r="B16" s="15"/>
      <x:c r="C16" s="15" t="str">
        <x:v>TGP2109主要详情页缺货；MAPS-010166-TR0500有390只剪带库存。它是6位8–12 GHz、±5 V器件，插损典型6.5/最大9 dB。共用双向路径需确认封装版反向指标并做TX/RX标定。</x:v>
      </x:c>
      <x:c r="D16" s="15"/>
      <x:c r="E16" s="15"/>
      <x:c r="F16" s="15"/>
      <x:c r="G16" s="15"/>
      <x:c r="H16" s="15"/>
      <x:c r="I16" s="15"/>
      <x:c r="J16" s="16" t="str">
        <x:v>https://cdn.macom.com/datasheets/MAPS-010166.pdf</x:v>
      </x:c>
    </x:row>
    <x:row r="17" ht="63.75" customHeight="1">
      <x:c r="A17" s="13" t="str">
        <x:v>衰减降本</x:v>
      </x:c>
      <x:c r="B17" s="13"/>
      <x:c r="C17" s="13" t="str">
        <x:v>PE43610A-X覆盖到13 GHz，0.5 dB步进。正常模式内置负压发生器，射频稳定约500 ns，切换频率上限400 kHz；低杂散旁路模式需外加负压。电源/控制/校准必须重新设计。</x:v>
      </x:c>
      <x:c r="D17" s="13"/>
      <x:c r="E17" s="13"/>
      <x:c r="F17" s="13"/>
      <x:c r="G17" s="13"/>
      <x:c r="H17" s="13"/>
      <x:c r="I17" s="13"/>
      <x:c r="J17" s="14" t="str">
        <x:v>https://www.psemi.com/pdf/datasheets/pe43610ds.pdf</x:v>
      </x:c>
    </x:row>
    <x:row r="18" ht="63.75" customHeight="1">
      <x:c r="A18" s="15" t="str">
        <x:v>不能保证整套更便宜</x:v>
      </x:c>
      <x:c r="B18" s="15"/>
      <x:c r="C18" s="15" t="str">
        <x:v>ADL6010网页10只档约USD207.958/只；移相、LNA、开关、环行器、偏置、PCB与散热都另计。PA单项便宜不能推出完整分立前端比ADTR+ADAR便宜。</x:v>
      </x:c>
      <x:c r="D18" s="15"/>
      <x:c r="E18" s="15"/>
      <x:c r="F18" s="15"/>
      <x:c r="G18" s="15"/>
      <x:c r="H18" s="15"/>
      <x:c r="I18" s="15"/>
      <x:c r="J18" s="16" t="str">
        <x:v>射频渠道工作表</x:v>
      </x:c>
    </x:row>
    <x:row r="19" ht="63.75" customHeight="1">
      <x:c r="A19" s="13" t="str">
        <x:v>采购仍缺项</x:v>
      </x:c>
      <x:c r="B19" s="13"/>
      <x:c r="C19" s="13" t="str">
        <x:v>环行器UIYBDC815A8T12未确认零售现货；OPA4197IPWR、TPS7A4701RGWR、TPS26630RGER所查渠道缺货。需完成替代设计/采购确认后才能冻结全部物料。</x:v>
      </x:c>
      <x:c r="D19" s="13"/>
      <x:c r="E19" s="13"/>
      <x:c r="F19" s="13"/>
      <x:c r="G19" s="13"/>
      <x:c r="H19" s="13"/>
      <x:c r="I19" s="13"/>
      <x:c r="J19" s="14" t="str">
        <x:v>控制电源渠道工作表</x:v>
      </x:c>
    </x:row>
    <x:row r="20" ht="63.75" customHeight="1">
      <x:c r="A20" s="15" t="str">
        <x:v>设计类物料</x:v>
      </x:c>
      <x:c r="B20" s="15"/>
      <x:c r="C20" s="15" t="str">
        <x:v>PCB耦合器、微波50Ω端接、隔直/匹配/偏置无源件、滤波、SMA/SMP、散热和主电源外围仍为设计项；没有型号/数量时不伪造可采购行。</x:v>
      </x:c>
      <x:c r="D20" s="15"/>
      <x:c r="E20" s="15"/>
      <x:c r="F20" s="15"/>
      <x:c r="G20" s="15"/>
      <x:c r="H20" s="15"/>
      <x:c r="I20" s="15"/>
      <x:c r="J20" s="16" t="str">
        <x:v>对应v1序号15、17、38–40</x:v>
      </x:c>
    </x:row>
    <x:row r="21" ht="63.75" customHeight="1">
      <x:c r="A21" s="13" t="str">
        <x:v>渠道范围</x:v>
      </x:c>
      <x:c r="B21" s="13"/>
      <x:c r="C21" s="13" t="str">
        <x:v>优先核查立创，射频主要采用Qorvo商城、DigiKey、Mouser、Mini-Circuits。未查到可核实SKU和库存的淘宝低价商品，因此本表没有虚构淘宝直购链接。</x:v>
      </x:c>
      <x:c r="D21" s="13"/>
      <x:c r="E21" s="13"/>
      <x:c r="F21" s="13"/>
      <x:c r="G21" s="13"/>
      <x:c r="H21" s="13"/>
      <x:c r="I21" s="13"/>
      <x:c r="J21" s="14" t="str">
        <x:v>本次检索</x:v>
      </x:c>
    </x:row>
    <x:row r="22" ht="63.75" customHeight="1">
      <x:c r="A22" s="15" t="str">
        <x:v>先做单路</x:v>
      </x:c>
      <x:c r="B22" s="15"/>
      <x:c r="C22" s="15" t="str">
        <x:v>建议先购单路PA/幅相样品，确认增益、功率、偏置和收发恢复；B级价格需刷新、C级项未闭合前，不按16路清单整套下单。</x:v>
      </x:c>
      <x:c r="D22" s="15"/>
      <x:c r="E22" s="15"/>
      <x:c r="F22" s="15"/>
      <x:c r="G22" s="15"/>
      <x:c r="H22" s="15"/>
      <x:c r="I22" s="15"/>
      <x:c r="J22" s="16" t="str">
        <x:v>工程建议</x:v>
      </x:c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</x:sheetData>
  <x:mergeCells>
    <x:mergeCell ref="A1:J1"/>
    <x:mergeCell ref="A2:J2"/>
    <x:mergeCell ref="A3:J3"/>
    <x:mergeCell ref="A10:D10"/>
    <x:mergeCell ref="F10:H10"/>
    <x:mergeCell ref="A12:J12"/>
    <x:mergeCell ref="A13:B13"/>
    <x:mergeCell ref="C13:I13"/>
    <x:mergeCell ref="A14:B14"/>
    <x:mergeCell ref="C14:I14"/>
    <x:mergeCell ref="A15:B15"/>
    <x:mergeCell ref="C15:I15"/>
    <x:mergeCell ref="A16:B16"/>
    <x:mergeCell ref="C16:I16"/>
    <x:mergeCell ref="A17:B17"/>
    <x:mergeCell ref="C17:I17"/>
    <x:mergeCell ref="A18:B18"/>
    <x:mergeCell ref="C18:I18"/>
    <x:mergeCell ref="A19:B19"/>
    <x:mergeCell ref="C19:I19"/>
    <x:mergeCell ref="A20:B20"/>
    <x:mergeCell ref="C20:I20"/>
    <x:mergeCell ref="A21:B21"/>
    <x:mergeCell ref="C21:I21"/>
    <x:mergeCell ref="A22:B22"/>
    <x:mergeCell ref="C22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1299991607666" hidden="0" customWidth="1"/>
    <x:col min="2" max="2" width="28.75" hidden="0" customWidth="1"/>
    <x:col min="3" max="3" width="9.5" hidden="0" customWidth="1"/>
    <x:col min="4" max="4" width="22.5" hidden="0" customWidth="1"/>
    <x:col min="5" max="5" width="16.5" hidden="0" customWidth="1"/>
    <x:col min="6" max="6" width="15.75" hidden="0" customWidth="1"/>
    <x:col min="7" max="7" width="30" hidden="0" customWidth="1"/>
    <x:col min="8" max="8" width="15.630000114440918" hidden="0" customWidth="1"/>
    <x:col min="9" max="9" width="55" hidden="0" customWidth="1"/>
    <x:col min="10" max="10" width="53.75" hidden="0" customWidth="1"/>
  </x:cols>
  <x:sheetData>
    <x:row r="1" ht="33" customHeight="1">
      <x:c r="A1" s="5" t="str">
        <x:v>射频渠道 · 2026-10-10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9" customHeight="1">
      <x:c r="A2" s="3" t="str">
        <x:v>A=读取到商品详情库存；B=较旧页面或索引证据，需刷新；C=缺货/采购未闭合；D=沿用。所有库存为检索所得网页快照，未结算验证，不承诺中国地址交付。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6" customHeight="1">
      <x:c r="A3" s="3" t="str">
        <x:v>数量按16路原方案列示，仅用于核对供货量；替换PA/驱动后必须重算。互斥备选不得全部相加采购。价格保留原币种、数量档，未计运税。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5.5" customHeight="1">
      <x:c r="A5" s="7" t="str">
        <x:v>功能</x:v>
      </x:c>
      <x:c r="B5" s="7" t="str">
        <x:v>完整订货型号</x:v>
      </x:c>
      <x:c r="C5" s="7" t="str">
        <x:v>参考数量</x:v>
      </x:c>
      <x:c r="D5" s="7" t="str">
        <x:v>渠道</x:v>
      </x:c>
      <x:c r="E5" s="7" t="str">
        <x:v>网页库存</x:v>
      </x:c>
      <x:c r="F5" s="7" t="str">
        <x:v>网页单价</x:v>
      </x:c>
      <x:c r="G5" s="7" t="str">
        <x:v>报价条件 / MOQ</x:v>
      </x:c>
      <x:c r="H5" s="7" t="str">
        <x:v>证据状态</x:v>
      </x:c>
      <x:c r="I5" s="7" t="str">
        <x:v>用途 / 替换条件</x:v>
      </x:c>
      <x:c r="J5" s="7" t="str">
        <x:v>购买链接 / 资料</x:v>
      </x:c>
    </x:row>
    <x:row r="6" ht="66" customHeight="1">
      <x:c r="A6" s="13" t="str">
        <x:v>末级PA：优先候选</x:v>
      </x:c>
      <x:c r="B6" s="13" t="str">
        <x:v>QPA2612</x:v>
      </x:c>
      <x:c r="C6" s="21" t="n">
        <x:v>16</x:v>
      </x:c>
      <x:c r="D6" s="13" t="str">
        <x:v>Qorvo商城/RFMW</x:v>
      </x:c>
      <x:c r="E6" s="13" t="str">
        <x:v>66</x:v>
      </x:c>
      <x:c r="F6" s="13" t="str">
        <x:v>USD 295.31</x:v>
      </x:c>
      <x:c r="G6" s="13" t="str">
        <x:v>1–24只；25只档241.86</x:v>
      </x:c>
      <x:c r="H6" s="13" t="str">
        <x:v>A 详情页</x:v>
      </x:c>
      <x:c r="I6" s="13" t="str">
        <x:v>8–12 GHz；24 V。12 W级为脉冲条件，先做单路验证；非P2P。</x:v>
      </x:c>
      <x:c r="J6" s="14" t="str">
        <x:v>https://store.qorvo.com/products/detail/qpa2612-qorvo/658743/</x:v>
      </x:c>
    </x:row>
    <x:row r="7" ht="66" customHeight="1">
      <x:c r="A7" s="15" t="str">
        <x:v>末级PA：原方案</x:v>
      </x:c>
      <x:c r="B7" s="15" t="str">
        <x:v>QPA2962</x:v>
      </x:c>
      <x:c r="C7" s="22" t="n">
        <x:v>16</x:v>
      </x:c>
      <x:c r="D7" s="15" t="str">
        <x:v>Qorvo商城/RFMW</x:v>
      </x:c>
      <x:c r="E7" s="15" t="str">
        <x:v>55</x:v>
      </x:c>
      <x:c r="F7" s="15" t="str">
        <x:v>USD 612.95</x:v>
      </x:c>
      <x:c r="G7" s="15" t="str">
        <x:v>1–24只</x:v>
      </x:c>
      <x:c r="H7" s="15" t="str">
        <x:v>A 详情页</x:v>
      </x:c>
      <x:c r="I7" s="15" t="str">
        <x:v>保留作比较；成本高，需约+27 dBm驱动。</x:v>
      </x:c>
      <x:c r="J7" s="16" t="str">
        <x:v>https://store.qorvo.com/products/detail/qpa2962-qorvo/682240/</x:v>
      </x:c>
    </x:row>
    <x:row r="8" ht="66" customHeight="1">
      <x:c r="A8" s="17" t="str">
        <x:v>末级PA：降功率备选</x:v>
      </x:c>
      <x:c r="B8" s="17" t="str">
        <x:v>PMA6-123-10W+</x:v>
      </x:c>
      <x:c r="C8" s="23" t="n">
        <x:v>16</x:v>
      </x:c>
      <x:c r="D8" s="17" t="str">
        <x:v>Mini-Circuits商城</x:v>
      </x:c>
      <x:c r="E8" s="17" t="str">
        <x:v>&gt;100（索引）</x:v>
      </x:c>
      <x:c r="F8" s="17" t="str">
        <x:v>USD 107.04</x:v>
      </x:c>
      <x:c r="G8" s="17" t="str">
        <x:v>20只档；采购20只；非单只报价</x:v>
      </x:c>
      <x:c r="H8" s="17" t="str">
        <x:v>B 网页索引</x:v>
      </x:c>
      <x:c r="I8" s="17" t="str">
        <x:v>10–11.7 GHz；典型Psat39.1 dBm≈8.13 W，不满足严格10 W。详情页本次未读出实时库存。</x:v>
      </x:c>
      <x:c r="J8" s="18" t="str">
        <x:v>https://www.minicircuits.com/WebStore/dashboard.html?model=PMA6-123-10W%2B</x:v>
      </x:c>
    </x:row>
    <x:row r="9" ht="66" customHeight="1">
      <x:c r="A9" s="17" t="str">
        <x:v>原方案驱动PA</x:v>
      </x:c>
      <x:c r="B9" s="17" t="str">
        <x:v>PMA5-123-3W+</x:v>
      </x:c>
      <x:c r="C9" s="23" t="n">
        <x:v>16</x:v>
      </x:c>
      <x:c r="D9" s="17" t="str">
        <x:v>Mouser新加坡</x:v>
      </x:c>
      <x:c r="E9" s="17" t="str">
        <x:v>307（2个月快照）</x:v>
      </x:c>
      <x:c r="F9" s="17" t="str">
        <x:v>SGD 75.38</x:v>
      </x:c>
      <x:c r="G9" s="17" t="str">
        <x:v>1只；20只档67.85</x:v>
      </x:c>
      <x:c r="H9" s="17" t="str">
        <x:v>B 较旧详情页</x:v>
      </x:c>
      <x:c r="I9" s="17" t="str">
        <x:v>仅作为QPA2962链路原配置。QPA2612输入绝对最大21 dBm，禁止沿用原27 dBm驱动。</x:v>
      </x:c>
      <x:c r="J9" s="18" t="str">
        <x:v>https://www.mouser.sg/en/ProductDetail/Mini-Circuits/PMA5-123-3W%2B?qs=sqEgtWRSLJ2vtugGWqj06A%3D%3D</x:v>
      </x:c>
    </x:row>
    <x:row r="10" ht="66" customHeight="1">
      <x:c r="A10" s="13" t="str">
        <x:v>TX前放/RX LNA</x:v>
      </x:c>
      <x:c r="B10" s="13" t="str">
        <x:v>PMA2-123LNW+</x:v>
      </x:c>
      <x:c r="C10" s="21" t="n">
        <x:v>32</x:v>
      </x:c>
      <x:c r="D10" s="13" t="str">
        <x:v>Mouser欧洲</x:v>
      </x:c>
      <x:c r="E10" s="13" t="str">
        <x:v>846</x:v>
      </x:c>
      <x:c r="F10" s="13" t="str">
        <x:v>EUR 24.00</x:v>
      </x:c>
      <x:c r="G10" s="13" t="str">
        <x:v>1只起；50只档21.61</x:v>
      </x:c>
      <x:c r="H10" s="13" t="str">
        <x:v>A 详情页</x:v>
      </x:c>
      <x:c r="I10" s="13" t="str">
        <x:v>原方案每路TX/RX各1只；末级变化后TX驱动数量待链路预算。</x:v>
      </x:c>
      <x:c r="J10" s="14" t="str">
        <x:v>https://eu.mouser.com/en/ProductDetail/Mini-Circuits/PMA2-123LNW%2B?qs=4dK74SdgGtwEBDo2%2FF2buA%3D%3D</x:v>
      </x:c>
    </x:row>
    <x:row r="11" ht="66" customHeight="1">
      <x:c r="A11" s="15" t="str">
        <x:v>移相：有货候选</x:v>
      </x:c>
      <x:c r="B11" s="15" t="str">
        <x:v>MAPS-010166-TR0500</x:v>
      </x:c>
      <x:c r="C11" s="22" t="n">
        <x:v>16</x:v>
      </x:c>
      <x:c r="D11" s="15" t="str">
        <x:v>DigiKey</x:v>
      </x:c>
      <x:c r="E11" s="15" t="str">
        <x:v>390</x:v>
      </x:c>
      <x:c r="F11" s="15" t="str">
        <x:v>USD 120.525</x:v>
      </x:c>
      <x:c r="G11" s="15" t="str">
        <x:v>10只档；1只136.70；可剪带</x:v>
      </x:c>
      <x:c r="H11" s="15" t="str">
        <x:v>A 详情页</x:v>
      </x:c>
      <x:c r="I11" s="15" t="str">
        <x:v>6位8–12 GHz；±5 V；插损典型6.5/最大9 dB。封装版反向指标未明确，TDD双向使用需确认/实测。</x:v>
      </x:c>
      <x:c r="J11" s="16" t="str">
        <x:v>https://www.digikey.com/en/products/detail/macom-technology-solutions/MAPS-010166-TR0500/4429765</x:v>
      </x:c>
    </x:row>
    <x:row r="12" ht="66" customHeight="1">
      <x:c r="A12" s="19" t="str">
        <x:v>移相：原方案</x:v>
      </x:c>
      <x:c r="B12" s="19" t="str">
        <x:v>TGP2109-SM</x:v>
      </x:c>
      <x:c r="C12" s="24" t="n">
        <x:v>16</x:v>
      </x:c>
      <x:c r="D12" s="19" t="str">
        <x:v>Qorvo商城/Mouser</x:v>
      </x:c>
      <x:c r="E12" s="19" t="str">
        <x:v>0</x:v>
      </x:c>
      <x:c r="F12" s="19" t="str">
        <x:v>—</x:v>
      </x:c>
      <x:c r="G12" s="19" t="str">
        <x:v>缺货报价不作为现货成本</x:v>
      </x:c>
      <x:c r="H12" s="19" t="str">
        <x:v>C 缺货</x:v>
      </x:c>
      <x:c r="I12" s="19" t="str">
        <x:v>不列入现货首选；搜索分类页与详情页不一致时采用详情页。</x:v>
      </x:c>
      <x:c r="J12" s="20" t="str">
        <x:v>https://store.qorvo.com/products/detail/tgp2109sm-qorvo/578492/</x:v>
      </x:c>
    </x:row>
    <x:row r="13" ht="66" customHeight="1">
      <x:c r="A13" s="15" t="str">
        <x:v>衰减：降本候选</x:v>
      </x:c>
      <x:c r="B13" s="15" t="str">
        <x:v>PE43610A-X</x:v>
      </x:c>
      <x:c r="C13" s="22" t="n">
        <x:v>16</x:v>
      </x:c>
      <x:c r="D13" s="15" t="str">
        <x:v>DigiKey</x:v>
      </x:c>
      <x:c r="E13" s="15" t="str">
        <x:v>1704</x:v>
      </x:c>
      <x:c r="F13" s="15" t="str">
        <x:v>USD 22.754</x:v>
      </x:c>
      <x:c r="G13" s="15" t="str">
        <x:v>剪带10只档；1只26.08</x:v>
      </x:c>
      <x:c r="H13" s="15" t="str">
        <x:v>A 详情页</x:v>
      </x:c>
      <x:c r="I13" s="15" t="str">
        <x:v>9 kHz–13 GHz；6位0.5 dB/31.5 dB；8–13 GHz插损2.5典型/3最大。3.3 V正常模式；需重做控制与幅相标定。</x:v>
      </x:c>
      <x:c r="J13" s="16" t="str">
        <x:v>https://www.digikey.com/en/products/detail/psemi/PE43610A-X/22251085</x:v>
      </x:c>
    </x:row>
    <x:row r="14" ht="66" customHeight="1">
      <x:c r="A14" s="19" t="str">
        <x:v>衰减：原方案</x:v>
      </x:c>
      <x:c r="B14" s="19" t="str">
        <x:v>ADRF5730BCCZN / ADRF5730BCCZN-R7</x:v>
      </x:c>
      <x:c r="C14" s="24" t="n">
        <x:v>16</x:v>
      </x:c>
      <x:c r="D14" s="19" t="str">
        <x:v>立创 C1525897/C659636</x:v>
      </x:c>
      <x:c r="E14" s="19" t="str">
        <x:v>少量，待刷新</x:v>
      </x:c>
      <x:c r="F14" s="19" t="str">
        <x:v>—</x:v>
      </x:c>
      <x:c r="G14" s="19" t="str">
        <x:v>未形成16只同批报价</x:v>
      </x:c>
      <x:c r="H14" s="19" t="str">
        <x:v>C 数量未确认</x:v>
      </x:c>
      <x:c r="I14" s="19" t="str">
        <x:v>40 GHz能力超出本次需求；建议优先评估PE43610，不能把两种封装订货库存当同一条库存。</x:v>
      </x:c>
      <x:c r="J14" s="20" t="str">
        <x:v>https://www.lcsc.com/product-detail/C1525897.html</x:v>
      </x:c>
    </x:row>
    <x:row r="15" ht="66" customHeight="1">
      <x:c r="A15" s="15" t="str">
        <x:v>小信号T/R及消隐</x:v>
      </x:c>
      <x:c r="B15" s="15" t="str">
        <x:v>M3SWA2-34DR+</x:v>
      </x:c>
      <x:c r="C15" s="22" t="n">
        <x:v>33</x:v>
      </x:c>
      <x:c r="D15" s="15" t="str">
        <x:v>Mouser马来西亚</x:v>
      </x:c>
      <x:c r="E15" s="15" t="str">
        <x:v>3083</x:v>
      </x:c>
      <x:c r="F15" s="15" t="str">
        <x:v>MYR 156.49</x:v>
      </x:c>
      <x:c r="G15" s="15" t="str">
        <x:v>20只档；1只173.87</x:v>
      </x:c>
      <x:c r="H15" s="15" t="str">
        <x:v>A 详情页</x:v>
      </x:c>
      <x:c r="I15" s="15" t="str">
        <x:v>32支路+1公共；只放小信号侧，不能切换10 W天线功率。</x:v>
      </x:c>
      <x:c r="J15" s="16" t="str">
        <x:v>https://my.mouser.com/en/ProductDetail/Mini-Circuits/M3SWA2-34DR%2B?qs=ZcfC38r4PotB%2FZgogI%252BGuw%3D%3D</x:v>
      </x:c>
    </x:row>
    <x:row r="16" ht="66" customHeight="1">
      <x:c r="A16" s="13" t="str">
        <x:v>接收限幅</x:v>
      </x:c>
      <x:c r="B16" s="13" t="str">
        <x:v>TGL2209-SM</x:v>
      </x:c>
      <x:c r="C16" s="21" t="n">
        <x:v>16</x:v>
      </x:c>
      <x:c r="D16" s="13" t="str">
        <x:v>Qorvo商城/RFMW</x:v>
      </x:c>
      <x:c r="E16" s="13" t="str">
        <x:v>334</x:v>
      </x:c>
      <x:c r="F16" s="13" t="str">
        <x:v>USD 72.08</x:v>
      </x:c>
      <x:c r="G16" s="13" t="str">
        <x:v>1–24只；25只档48.88</x:v>
      </x:c>
      <x:c r="H16" s="13" t="str">
        <x:v>A 详情页</x:v>
      </x:c>
      <x:c r="I16" s="13" t="str">
        <x:v>50 W是指定脉冲条件；天线失配/反射及持续功率必须单独验证。</x:v>
      </x:c>
      <x:c r="J16" s="14" t="str">
        <x:v>https://store.qorvo.com/products/detail/tgl2209sm-qorvo/578487/</x:v>
      </x:c>
    </x:row>
    <x:row r="17" ht="66" customHeight="1">
      <x:c r="A17" s="15" t="str">
        <x:v>功分/合路</x:v>
      </x:c>
      <x:c r="B17" s="15" t="str">
        <x:v>EP4RKU+</x:v>
      </x:c>
      <x:c r="C17" s="22" t="n">
        <x:v>5</x:v>
      </x:c>
      <x:c r="D17" s="15" t="str">
        <x:v>DigiKey</x:v>
      </x:c>
      <x:c r="E17" s="15" t="str">
        <x:v>4936</x:v>
      </x:c>
      <x:c r="F17" s="15" t="str">
        <x:v>USD 74.68</x:v>
      </x:c>
      <x:c r="G17" s="15" t="str">
        <x:v>1只起；原1只可复用时净增4只</x:v>
      </x:c>
      <x:c r="H17" s="15" t="str">
        <x:v>A 详情页</x:v>
      </x:c>
      <x:c r="I17" s="15" t="str">
        <x:v>两级1→16，按实际插损预算；装配总量不是净采购量。</x:v>
      </x:c>
      <x:c r="J17" s="16" t="str">
        <x:v>https://www.digikey.com/en/products/detail/mini-circuits/EP4RKU/13927329</x:v>
      </x:c>
    </x:row>
    <x:row r="18" ht="66" customHeight="1">
      <x:c r="A18" s="17" t="str">
        <x:v>公共放大/新驱动候选</x:v>
      </x:c>
      <x:c r="B18" s="17" t="str">
        <x:v>AVA-183MP+</x:v>
      </x:c>
      <x:c r="C18" s="23" t="n">
        <x:v>1</x:v>
      </x:c>
      <x:c r="D18" s="17" t="str">
        <x:v>DigiKey</x:v>
      </x:c>
      <x:c r="E18" s="17" t="str">
        <x:v>210（1个月快照）</x:v>
      </x:c>
      <x:c r="F18" s="17" t="str">
        <x:v>USD 74.09</x:v>
      </x:c>
      <x:c r="G18" s="17" t="str">
        <x:v>1只起</x:v>
      </x:c>
      <x:c r="H18" s="17" t="str">
        <x:v>B 较旧详情页</x:v>
      </x:c>
      <x:c r="I18" s="17" t="str">
        <x:v>原方案公共TX1只。可评估为QPA2612每路驱动，但尚未冻结数量或确认全频最差增益。</x:v>
      </x:c>
      <x:c r="J18" s="18" t="str">
        <x:v>https://www.digikey.com/en/products/detail/mini-circuits/AVA-183MP/19186453</x:v>
      </x:c>
    </x:row>
    <x:row r="19" ht="66" customHeight="1">
      <x:c r="A19" s="15" t="str">
        <x:v>RF检波：成本偏高</x:v>
      </x:c>
      <x:c r="B19" s="15" t="str">
        <x:v>ADL6010ACPZN-R7</x:v>
      </x:c>
      <x:c r="C19" s="22" t="n">
        <x:v>16</x:v>
      </x:c>
      <x:c r="D19" s="15" t="str">
        <x:v>DigiKey</x:v>
      </x:c>
      <x:c r="E19" s="15" t="str">
        <x:v>2161</x:v>
      </x:c>
      <x:c r="F19" s="15" t="str">
        <x:v>USD 207.958</x:v>
      </x:c>
      <x:c r="G19" s="15" t="str">
        <x:v>10只档；1只241.92</x:v>
      </x:c>
      <x:c r="H19" s="15" t="str">
        <x:v>A 详情页</x:v>
      </x:c>
      <x:c r="I19" s="15" t="str">
        <x:v>有货但不利于降本；首样可用外部仪器测功率。取消逐路检波会改变在线监测功能，未默认取消。</x:v>
      </x:c>
      <x:c r="J19" s="16" t="str">
        <x:v>https://www.digikey.com/en/products/detail/analog-devices-inc/ADL6010ACPZN-R7/5403657</x:v>
      </x:c>
    </x:row>
    <x:row r="20" ht="66" customHeight="1">
      <x:c r="A20" s="17" t="str">
        <x:v>原驱动衰减垫</x:v>
      </x:c>
      <x:c r="B20" s="17" t="str">
        <x:v>XAT-3+</x:v>
      </x:c>
      <x:c r="C20" s="23" t="n">
        <x:v>16</x:v>
      </x:c>
      <x:c r="D20" s="17" t="str">
        <x:v>Mini-Circuits商城</x:v>
      </x:c>
      <x:c r="E20" s="17" t="str">
        <x:v>&gt;1000（索引）</x:v>
      </x:c>
      <x:c r="F20" s="17" t="str">
        <x:v>USD 19.09</x:v>
      </x:c>
      <x:c r="G20" s="17" t="str">
        <x:v>20只档</x:v>
      </x:c>
      <x:c r="H20" s="17" t="str">
        <x:v>B 网页索引</x:v>
      </x:c>
      <x:c r="I20" s="17" t="str">
        <x:v>原QPA2962链路值；换PA必须重选衰减量，不能作为输入限幅器。</x:v>
      </x:c>
      <x:c r="J20" s="18" t="str">
        <x:v>https://www.minicircuits.com/WebStore/dashboard.html?model=XAT-3%2B</x:v>
      </x:c>
    </x:row>
    <x:row r="21" ht="66" customHeight="1">
      <x:c r="A21" s="17" t="str">
        <x:v>检波支路衰减垫</x:v>
      </x:c>
      <x:c r="B21" s="17" t="str">
        <x:v>XAT-10+</x:v>
      </x:c>
      <x:c r="C21" s="23" t="n">
        <x:v>16</x:v>
      </x:c>
      <x:c r="D21" s="17" t="str">
        <x:v>Mini-Circuits商城</x:v>
      </x:c>
      <x:c r="E21" s="17" t="str">
        <x:v>&gt;1000（索引）</x:v>
      </x:c>
      <x:c r="F21" s="17" t="str">
        <x:v>USD 19.09</x:v>
      </x:c>
      <x:c r="G21" s="17" t="str">
        <x:v>20只档</x:v>
      </x:c>
      <x:c r="H21" s="17" t="str">
        <x:v>B 网页索引</x:v>
      </x:c>
      <x:c r="I21" s="17" t="str">
        <x:v>配20 dB耦合器；若改30 dB耦合器则重选。</x:v>
      </x:c>
      <x:c r="J21" s="18" t="str">
        <x:v>https://www.minicircuits.com/WebStore/dashboard.html?model=XAT-10%2B</x:v>
      </x:c>
    </x:row>
    <x:row r="22" ht="66" customHeight="1">
      <x:c r="A22" s="19" t="str">
        <x:v>天线端环行器</x:v>
      </x:c>
      <x:c r="B22" s="19" t="str">
        <x:v>UIYBDC815A8T12</x:v>
      </x:c>
      <x:c r="C22" s="24" t="n">
        <x:v>16</x:v>
      </x:c>
      <x:c r="D22" s="19" t="str">
        <x:v>UIY原厂资料；需询价</x:v>
      </x:c>
      <x:c r="E22" s="19" t="str">
        <x:v>未核实</x:v>
      </x:c>
      <x:c r="F22" s="19" t="str">
        <x:v>—</x:v>
      </x:c>
      <x:c r="G22" s="19" t="str">
        <x:v>没有确认零售现货链接</x:v>
      </x:c>
      <x:c r="H22" s="19" t="str">
        <x:v>C 未闭合</x:v>
      </x:c>
      <x:c r="I22" s="19" t="str">
        <x:v>8–12 GHz/30 W规格可作候选；不能写成已可采购。未找到已核实淘宝商品。</x:v>
      </x:c>
      <x:c r="J22" s="20" t="str">
        <x:v>https://www.uiyinc.com/Datasheet/UIYBDC815A.pdf</x:v>
      </x:c>
    </x:row>
    <x:row r="23" ht="66" customHeight="1">
      <x:c r="A23" s="19" t="str">
        <x:v>调试耦合器</x:v>
      </x:c>
      <x:c r="B23" s="19" t="str">
        <x:v>ZCDC20-263+</x:v>
      </x:c>
      <x:c r="C23" s="24" t="n">
        <x:v>1</x:v>
      </x:c>
      <x:c r="D23" s="19" t="str">
        <x:v>Mini-Circuits商城</x:v>
      </x:c>
      <x:c r="E23" s="19" t="str">
        <x:v>本次未核实</x:v>
      </x:c>
      <x:c r="F23" s="19" t="str">
        <x:v>—</x:v>
      </x:c>
      <x:c r="G23" s="19" t="str">
        <x:v>调试共用1只</x:v>
      </x:c>
      <x:c r="H23" s="19" t="str">
        <x:v>C 未闭合</x:v>
      </x:c>
      <x:c r="I23" s="19" t="str">
        <x:v>原方案保留候选，不以官网产品页代替现货确认。</x:v>
      </x:c>
      <x:c r="J23" s="20" t="str">
        <x:v>https://www.minicircuits.com/WebStore/dashboard.html?model=ZCDC20-263%2B</x:v>
      </x:c>
    </x:row>
    <x:row r="24">
      <x:c r="A24" s="3"/>
      <x:c r="B24" s="3"/>
      <x:c r="C24" s="25"/>
      <x:c r="D24" s="3"/>
      <x:c r="E24" s="3"/>
      <x:c r="F24" s="3"/>
      <x:c r="G24" s="3"/>
      <x:c r="H24" s="3"/>
      <x:c r="I24" s="3"/>
      <x:c r="J24" s="3"/>
    </x:row>
    <x:row r="25">
      <x:c r="A25" s="3"/>
      <x:c r="B25" s="3"/>
      <x:c r="C25" s="25"/>
      <x:c r="D25" s="3"/>
      <x:c r="E25" s="3"/>
      <x:c r="F25" s="3"/>
      <x:c r="G25" s="3"/>
      <x:c r="H25" s="3"/>
      <x:c r="I25" s="3"/>
      <x:c r="J25" s="3"/>
    </x:row>
    <x:row r="26">
      <x:c r="C26" s="26"/>
    </x:row>
    <x:row r="27">
      <x:c r="C27" s="26"/>
    </x:row>
    <x:row r="28">
      <x:c r="C28" s="26"/>
    </x:row>
    <x:row r="29">
      <x:c r="C29" s="26"/>
    </x:row>
    <x:row r="30">
      <x:c r="C30" s="26"/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.1299991607666" hidden="0" customWidth="1"/>
    <x:col min="2" max="2" width="28.75" hidden="0" customWidth="1"/>
    <x:col min="3" max="3" width="9.5" hidden="0" customWidth="1"/>
    <x:col min="4" max="4" width="22.5" hidden="0" customWidth="1"/>
    <x:col min="5" max="5" width="16.5" hidden="0" customWidth="1"/>
    <x:col min="6" max="6" width="15.75" hidden="0" customWidth="1"/>
    <x:col min="7" max="7" width="30" hidden="0" customWidth="1"/>
    <x:col min="8" max="8" width="15.630000114440918" hidden="0" customWidth="1"/>
    <x:col min="9" max="9" width="55" hidden="0" customWidth="1"/>
    <x:col min="10" max="10" width="53.75" hidden="0" customWidth="1"/>
  </x:cols>
  <x:sheetData>
    <x:row r="1" ht="33" customHeight="1">
      <x:c r="A1" s="5" t="str">
        <x:v>控制电源渠道 · 2026-10-10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9" customHeight="1">
      <x:c r="A2" s="3" t="str">
        <x:v>A=读取到商品详情库存；B=较旧页面或索引证据，需刷新；C=缺货/采购未闭合；D=沿用。所有库存为检索所得网页快照，未结算验证，不承诺中国地址交付。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36" customHeight="1">
      <x:c r="A3" s="3" t="str">
        <x:v>数量按16路原方案列示，仅用于核对供货量；替换PA/驱动后必须重算。互斥备选不得全部相加采购。价格保留原币种、数量档，未计运税。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5.5" customHeight="1">
      <x:c r="A5" s="7" t="str">
        <x:v>功能</x:v>
      </x:c>
      <x:c r="B5" s="7" t="str">
        <x:v>完整订货型号</x:v>
      </x:c>
      <x:c r="C5" s="7" t="str">
        <x:v>参考数量</x:v>
      </x:c>
      <x:c r="D5" s="7" t="str">
        <x:v>渠道</x:v>
      </x:c>
      <x:c r="E5" s="7" t="str">
        <x:v>网页库存</x:v>
      </x:c>
      <x:c r="F5" s="7" t="str">
        <x:v>网页单价</x:v>
      </x:c>
      <x:c r="G5" s="7" t="str">
        <x:v>报价条件 / MOQ</x:v>
      </x:c>
      <x:c r="H5" s="7" t="str">
        <x:v>证据状态</x:v>
      </x:c>
      <x:c r="I5" s="7" t="str">
        <x:v>用途 / 替换条件</x:v>
      </x:c>
      <x:c r="J5" s="7" t="str">
        <x:v>购买链接 / 资料</x:v>
      </x:c>
    </x:row>
    <x:row r="6" ht="66" customHeight="1">
      <x:c r="A6" s="13" t="str">
        <x:v>偏置控制</x:v>
      </x:c>
      <x:c r="B6" s="13" t="str">
        <x:v>AD7293BCPZ</x:v>
      </x:c>
      <x:c r="C6" s="21" t="n">
        <x:v>8</x:v>
      </x:c>
      <x:c r="D6" s="13" t="str">
        <x:v>DigiKey</x:v>
      </x:c>
      <x:c r="E6" s="13" t="str">
        <x:v>475</x:v>
      </x:c>
      <x:c r="F6" s="13" t="str">
        <x:v>USD 77.85</x:v>
      </x:c>
      <x:c r="G6" s="13" t="str">
        <x:v>1只起</x:v>
      </x:c>
      <x:c r="H6" s="13" t="str">
        <x:v>A 详情页</x:v>
      </x:c>
      <x:c r="I6" s="13" t="str">
        <x:v>数量8来自QPA2962+PMA5原链路；若新驱动无需负栅偏，可重新减量。</x:v>
      </x:c>
      <x:c r="J6" s="14" t="str">
        <x:v>https://www.digikey.com/en/products/detail/analog-devices-inc/AD7293BCPZ/6163949</x:v>
      </x:c>
    </x:row>
    <x:row r="7" ht="66" customHeight="1">
      <x:c r="A7" s="19" t="str">
        <x:v>栅压缓冲</x:v>
      </x:c>
      <x:c r="B7" s="19" t="str">
        <x:v>OPA4197IPWR</x:v>
      </x:c>
      <x:c r="C7" s="24" t="n">
        <x:v>8</x:v>
      </x:c>
      <x:c r="D7" s="19" t="str">
        <x:v>立创/DigiKey</x:v>
      </x:c>
      <x:c r="E7" s="19" t="str">
        <x:v>0</x:v>
      </x:c>
      <x:c r="F7" s="19" t="str">
        <x:v>—</x:v>
      </x:c>
      <x:c r="G7" s="19" t="str">
        <x:v>缺货，不下单</x:v>
      </x:c>
      <x:c r="H7" s="19" t="str">
        <x:v>C 缺货</x:v>
      </x:c>
      <x:c r="I7" s="19" t="str">
        <x:v>需另选有货封装或双运放方案；不得买同名其他品牌就默认等效。</x:v>
      </x:c>
      <x:c r="J7" s="20" t="str">
        <x:v>https://www.digikey.com/en/products/detail/texas-instruments/OPA4197IPWR/6553891</x:v>
      </x:c>
    </x:row>
    <x:row r="8" ht="66" customHeight="1">
      <x:c r="A8" s="13" t="str">
        <x:v>栅压切换</x:v>
      </x:c>
      <x:c r="B8" s="13" t="str">
        <x:v>TMUX6219DGKR</x:v>
      </x:c>
      <x:c r="C8" s="21" t="n">
        <x:v>32</x:v>
      </x:c>
      <x:c r="D8" s="13" t="str">
        <x:v>立创 C2876423</x:v>
      </x:c>
      <x:c r="E8" s="13" t="str">
        <x:v>2400</x:v>
      </x:c>
      <x:c r="F8" s="13" t="str">
        <x:v>USD 2.4681</x:v>
      </x:c>
      <x:c r="G8" s="13" t="str">
        <x:v>30只档；1只3.2383</x:v>
      </x:c>
      <x:c r="H8" s="13" t="str">
        <x:v>A 详情页</x:v>
      </x:c>
      <x:c r="I8" s="13" t="str">
        <x:v>原两级受控PA每路2只；换驱动后数量待定。</x:v>
      </x:c>
      <x:c r="J8" s="14" t="str">
        <x:v>https://www.lcsc.com/product-detail/C2876423.html</x:v>
      </x:c>
    </x:row>
    <x:row r="9" ht="66" customHeight="1">
      <x:c r="A9" s="15" t="str">
        <x:v>5 V移相控制</x:v>
      </x:c>
      <x:c r="B9" s="15" t="str">
        <x:v>SN74AHCT595PWR</x:v>
      </x:c>
      <x:c r="C9" s="22" t="n">
        <x:v>16</x:v>
      </x:c>
      <x:c r="D9" s="15" t="str">
        <x:v>立创 C202237</x:v>
      </x:c>
      <x:c r="E9" s="15" t="str">
        <x:v>5545</x:v>
      </x:c>
      <x:c r="F9" s="15" t="str">
        <x:v>USD 0.3563</x:v>
      </x:c>
      <x:c r="G9" s="15" t="str">
        <x:v>5只起/5倍数，16装配需购20</x:v>
      </x:c>
      <x:c r="H9" s="15" t="str">
        <x:v>A 详情页</x:v>
      </x:c>
      <x:c r="I9" s="15" t="str">
        <x:v>MAPS在VCC5 V时VIH≥3.5 V，保留电平转换。</x:v>
      </x:c>
      <x:c r="J9" s="16" t="str">
        <x:v>https://www.lcsc.com/product-detail/C202237.html</x:v>
      </x:c>
    </x:row>
    <x:row r="10" ht="66" customHeight="1">
      <x:c r="A10" s="17" t="str">
        <x:v>3.3 V衰减控制</x:v>
      </x:c>
      <x:c r="B10" s="17" t="str">
        <x:v>SN74LVC595APWR</x:v>
      </x:c>
      <x:c r="C10" s="23" t="n">
        <x:v>16</x:v>
      </x:c>
      <x:c r="D10" s="17" t="str">
        <x:v>立创 C52287685</x:v>
      </x:c>
      <x:c r="E10" s="17" t="str">
        <x:v>2310（1个月快照）</x:v>
      </x:c>
      <x:c r="F10" s="17" t="str">
        <x:v>USD 0.2508</x:v>
      </x:c>
      <x:c r="G10" s="17" t="str">
        <x:v>5只起/5倍数，16装配需购20</x:v>
      </x:c>
      <x:c r="H10" s="17" t="str">
        <x:v>B 较旧详情页</x:v>
      </x:c>
      <x:c r="I10" s="17" t="str">
        <x:v>PE43610若采用原生串行可重评是否保留；先按原并行结构。</x:v>
      </x:c>
      <x:c r="J10" s="18" t="str">
        <x:v>https://www.lcsc.com/product-detail/C52287685.html</x:v>
      </x:c>
    </x:row>
    <x:row r="11" ht="66" customHeight="1">
      <x:c r="A11" s="15" t="str">
        <x:v>时序缓冲</x:v>
      </x:c>
      <x:c r="B11" s="15" t="str">
        <x:v>SN74LVC244APWR</x:v>
      </x:c>
      <x:c r="C11" s="22" t="n">
        <x:v>4</x:v>
      </x:c>
      <x:c r="D11" s="15" t="str">
        <x:v>立创 C7668</x:v>
      </x:c>
      <x:c r="E11" s="15" t="str">
        <x:v>92825</x:v>
      </x:c>
      <x:c r="F11" s="15" t="str">
        <x:v>USD 0.3026</x:v>
      </x:c>
      <x:c r="G11" s="15" t="str">
        <x:v>5只起/5倍数</x:v>
      </x:c>
      <x:c r="H11" s="15" t="str">
        <x:v>A 详情页</x:v>
      </x:c>
      <x:c r="I11" s="15" t="str">
        <x:v>实际数量按FPGA负载/布线复核。</x:v>
      </x:c>
      <x:c r="J11" s="16" t="str">
        <x:v>https://www.lcsc.com/product-detail/C7668.html</x:v>
      </x:c>
    </x:row>
    <x:row r="12" ht="66" customHeight="1">
      <x:c r="A12" s="13" t="str">
        <x:v>硬件保护逻辑</x:v>
      </x:c>
      <x:c r="B12" s="13" t="str">
        <x:v>SN74LVC08APWR</x:v>
      </x:c>
      <x:c r="C12" s="21" t="n">
        <x:v>4</x:v>
      </x:c>
      <x:c r="D12" s="13" t="str">
        <x:v>立创 C465737</x:v>
      </x:c>
      <x:c r="E12" s="13" t="str">
        <x:v>55</x:v>
      </x:c>
      <x:c r="F12" s="13" t="str">
        <x:v>USD 0.3777</x:v>
      </x:c>
      <x:c r="G12" s="13" t="str">
        <x:v>5只起/5倍数</x:v>
      </x:c>
      <x:c r="H12" s="13" t="str">
        <x:v>A 详情页</x:v>
      </x:c>
      <x:c r="I12" s="13" t="str">
        <x:v>按硬件许可逻辑复核。</x:v>
      </x:c>
      <x:c r="J12" s="14" t="str">
        <x:v>https://www.lcsc.com/product-detail/Logic-Gates_Texas-Instruments-SN74LVC08APWR_C465737.html</x:v>
      </x:c>
    </x:row>
    <x:row r="13" ht="66" customHeight="1">
      <x:c r="A13" s="15" t="str">
        <x:v>电源监控</x:v>
      </x:c>
      <x:c r="B13" s="15" t="str">
        <x:v>TPS3700DDCR</x:v>
      </x:c>
      <x:c r="C13" s="22" t="n">
        <x:v>4</x:v>
      </x:c>
      <x:c r="D13" s="15" t="str">
        <x:v>立创 C33002</x:v>
      </x:c>
      <x:c r="E13" s="15" t="str">
        <x:v>13948</x:v>
      </x:c>
      <x:c r="F13" s="15" t="str">
        <x:v>USD 1.4216</x:v>
      </x:c>
      <x:c r="G13" s="15" t="str">
        <x:v>1只起</x:v>
      </x:c>
      <x:c r="H13" s="15" t="str">
        <x:v>A 详情页</x:v>
      </x:c>
      <x:c r="I13" s="15" t="str">
        <x:v>负压监控需电平平移网络。</x:v>
      </x:c>
      <x:c r="J13" s="16" t="str">
        <x:v>https://www.lcsc.com/product-detail/C33002.html</x:v>
      </x:c>
    </x:row>
    <x:row r="14" ht="66" customHeight="1">
      <x:c r="A14" s="13" t="str">
        <x:v>电流采样电阻</x:v>
      </x:c>
      <x:c r="B14" s="13" t="str">
        <x:v>WSL2512R0100FEA</x:v>
      </x:c>
      <x:c r="C14" s="21" t="n">
        <x:v>32</x:v>
      </x:c>
      <x:c r="D14" s="13" t="str">
        <x:v>立创 C844901</x:v>
      </x:c>
      <x:c r="E14" s="13" t="str">
        <x:v>9620</x:v>
      </x:c>
      <x:c r="F14" s="13" t="str">
        <x:v>USD 0.3615</x:v>
      </x:c>
      <x:c r="G14" s="13" t="str">
        <x:v>5只起/5倍数，32装配需购35</x:v>
      </x:c>
      <x:c r="H14" s="13" t="str">
        <x:v>A 详情页</x:v>
      </x:c>
      <x:c r="I14" s="13" t="str">
        <x:v>10mΩ/1%；原两级功放数量；Kelvin布线。</x:v>
      </x:c>
      <x:c r="J14" s="14" t="str">
        <x:v>https://www.lcsc.com/product-detail/C844901.html</x:v>
      </x:c>
    </x:row>
    <x:row r="15" ht="66" customHeight="1">
      <x:c r="A15" s="15" t="str">
        <x:v>温度采样晶体管</x:v>
      </x:c>
      <x:c r="B15" s="15" t="str">
        <x:v>MMBT3904LT1G</x:v>
      </x:c>
      <x:c r="C15" s="22" t="n">
        <x:v>16</x:v>
      </x:c>
      <x:c r="D15" s="15" t="str">
        <x:v>立创 C81464</x:v>
      </x:c>
      <x:c r="E15" s="15" t="str">
        <x:v>1486500</x:v>
      </x:c>
      <x:c r="F15" s="15" t="str">
        <x:v>USD 0.0167</x:v>
      </x:c>
      <x:c r="G15" s="15" t="str">
        <x:v>50只起/50倍数</x:v>
      </x:c>
      <x:c r="H15" s="15" t="str">
        <x:v>A 详情页</x:v>
      </x:c>
      <x:c r="I15" s="15" t="str">
        <x:v>保留onsemi品牌；贴近PA热区，不等同结温。</x:v>
      </x:c>
      <x:c r="J15" s="16" t="str">
        <x:v>https://www.lcsc.com/product-detail/C81464.html</x:v>
      </x:c>
    </x:row>
    <x:row r="16" ht="66" customHeight="1">
      <x:c r="A16" s="13" t="str">
        <x:v>主PA电源控制器</x:v>
      </x:c>
      <x:c r="B16" s="13" t="str">
        <x:v>LM5146RGYR</x:v>
      </x:c>
      <x:c r="C16" s="21" t="n">
        <x:v>4</x:v>
      </x:c>
      <x:c r="D16" s="13" t="str">
        <x:v>立创 C3188679</x:v>
      </x:c>
      <x:c r="E16" s="13" t="str">
        <x:v>3450</x:v>
      </x:c>
      <x:c r="F16" s="13" t="str">
        <x:v>USD 2.1062</x:v>
      </x:c>
      <x:c r="G16" s="13" t="str">
        <x:v>1只起</x:v>
      </x:c>
      <x:c r="H16" s="13" t="str">
        <x:v>A 详情页</x:v>
      </x:c>
      <x:c r="I16" s="13" t="str">
        <x:v>QPA2612改24 V；MOS/电感/补偿未冻结，不是买4只控制器即可完成电源。</x:v>
      </x:c>
      <x:c r="J16" s="14" t="str">
        <x:v>https://www.lcsc.com/product-detail/C3188679.html</x:v>
      </x:c>
    </x:row>
    <x:row r="17" ht="66" customHeight="1">
      <x:c r="A17" s="15" t="str">
        <x:v>驱动电源模块</x:v>
      </x:c>
      <x:c r="B17" s="15" t="str">
        <x:v>TPSM63610RDFR</x:v>
      </x:c>
      <x:c r="C17" s="22" t="n">
        <x:v>4</x:v>
      </x:c>
      <x:c r="D17" s="15" t="str">
        <x:v>立创 C7125816</x:v>
      </x:c>
      <x:c r="E17" s="15" t="str">
        <x:v>13</x:v>
      </x:c>
      <x:c r="F17" s="15" t="str">
        <x:v>USD 19.0193</x:v>
      </x:c>
      <x:c r="G17" s="15" t="str">
        <x:v>1只起</x:v>
      </x:c>
      <x:c r="H17" s="15" t="str">
        <x:v>A 详情页</x:v>
      </x:c>
      <x:c r="I17" s="15" t="str">
        <x:v>原7 V驱动用；换AVA或PMA6需改电压和功率预算。</x:v>
      </x:c>
      <x:c r="J17" s="16" t="str">
        <x:v>https://www.lcsc.com/product-detail/C7125816.html</x:v>
      </x:c>
    </x:row>
    <x:row r="18" ht="66" customHeight="1">
      <x:c r="A18" s="19" t="str">
        <x:v>5 V低噪声LDO</x:v>
      </x:c>
      <x:c r="B18" s="19" t="str">
        <x:v>TPS7A4701RGWR</x:v>
      </x:c>
      <x:c r="C18" s="24" t="n">
        <x:v>8</x:v>
      </x:c>
      <x:c r="D18" s="19" t="str">
        <x:v>立创/DigiKey</x:v>
      </x:c>
      <x:c r="E18" s="19" t="str">
        <x:v>0</x:v>
      </x:c>
      <x:c r="F18" s="19" t="str">
        <x:v>—</x:v>
      </x:c>
      <x:c r="G18" s="19" t="str">
        <x:v>缺货，不下单</x:v>
      </x:c>
      <x:c r="H18" s="19" t="str">
        <x:v>C 缺货</x:v>
      </x:c>
      <x:c r="I18" s="19" t="str">
        <x:v>需换有货低噪声1 A级LDO并重核稳定性/热耗；不冻结该型号。</x:v>
      </x:c>
      <x:c r="J18" s="20" t="str">
        <x:v>https://www.digikey.com/en/products/detail/texas-instruments/TPS7A4701RGWR/4579594</x:v>
      </x:c>
    </x:row>
    <x:row r="19" ht="66" customHeight="1">
      <x:c r="A19" s="15" t="str">
        <x:v>3.3 V LDO</x:v>
      </x:c>
      <x:c r="B19" s="15" t="str">
        <x:v>TPS7A2033PDBVR</x:v>
      </x:c>
      <x:c r="C19" s="22" t="n">
        <x:v>4</x:v>
      </x:c>
      <x:c r="D19" s="15" t="str">
        <x:v>立创 C2862740</x:v>
      </x:c>
      <x:c r="E19" s="15" t="str">
        <x:v>189320</x:v>
      </x:c>
      <x:c r="F19" s="15" t="str">
        <x:v>USD 0.2175</x:v>
      </x:c>
      <x:c r="G19" s="15" t="str">
        <x:v>5只起/5倍数</x:v>
      </x:c>
      <x:c r="H19" s="15" t="str">
        <x:v>A 详情页</x:v>
      </x:c>
      <x:c r="I19" s="15" t="str">
        <x:v>300mA；负载需按新幅相芯片重算。</x:v>
      </x:c>
      <x:c r="J19" s="16" t="str">
        <x:v>https://www.lcsc.com/product-detail/C2862740.html</x:v>
      </x:c>
    </x:row>
    <x:row r="20" ht="66" customHeight="1">
      <x:c r="A20" s="13" t="str">
        <x:v>负电源产生</x:v>
      </x:c>
      <x:c r="B20" s="13" t="str">
        <x:v>TPS63700DRCR</x:v>
      </x:c>
      <x:c r="C20" s="21" t="n">
        <x:v>4</x:v>
      </x:c>
      <x:c r="D20" s="13" t="str">
        <x:v>立创 C54792</x:v>
      </x:c>
      <x:c r="E20" s="13" t="str">
        <x:v>2416</x:v>
      </x:c>
      <x:c r="F20" s="13" t="str">
        <x:v>USD 1.5406</x:v>
      </x:c>
      <x:c r="G20" s="13" t="str">
        <x:v>1只起</x:v>
      </x:c>
      <x:c r="H20" s="13" t="str">
        <x:v>A 详情页</x:v>
      </x:c>
      <x:c r="I20" s="13" t="str">
        <x:v>负压负载/关断余量重新计算。</x:v>
      </x:c>
      <x:c r="J20" s="14" t="str">
        <x:v>https://www.lcsc.com/product-detail/C54792.html</x:v>
      </x:c>
    </x:row>
    <x:row r="21" ht="66" customHeight="1">
      <x:c r="A21" s="15" t="str">
        <x:v>负LDO：卷带订货</x:v>
      </x:c>
      <x:c r="B21" s="15" t="str">
        <x:v>TPS7A3001DGNR</x:v>
      </x:c>
      <x:c r="C21" s="22" t="n">
        <x:v>12</x:v>
      </x:c>
      <x:c r="D21" s="15" t="str">
        <x:v>立创 C33835</x:v>
      </x:c>
      <x:c r="E21" s="15" t="str">
        <x:v>11327</x:v>
      </x:c>
      <x:c r="F21" s="15" t="str">
        <x:v>USD 1.8273</x:v>
      </x:c>
      <x:c r="G21" s="15" t="str">
        <x:v>10只档；1只2.0292</x:v>
      </x:c>
      <x:c r="H21" s="15" t="str">
        <x:v>A 详情页</x:v>
      </x:c>
      <x:c r="I21" s="15" t="str">
        <x:v>原TPS7A3001DGN增加卷带R后缀；三负压轨数量仍为原方案参考。</x:v>
      </x:c>
      <x:c r="J21" s="16" t="str">
        <x:v>https://www.lcsc.com/product-detail/C33835.html</x:v>
      </x:c>
    </x:row>
    <x:row r="22" ht="66" customHeight="1">
      <x:c r="A22" s="13" t="str">
        <x:v>公共8 V Buck</x:v>
      </x:c>
      <x:c r="B22" s="13" t="str">
        <x:v>LM5164DDAR</x:v>
      </x:c>
      <x:c r="C22" s="21" t="n">
        <x:v>1</x:v>
      </x:c>
      <x:c r="D22" s="13" t="str">
        <x:v>立创 C477928</x:v>
      </x:c>
      <x:c r="E22" s="13" t="str">
        <x:v>4541</x:v>
      </x:c>
      <x:c r="F22" s="13" t="str">
        <x:v>USD 1.9959</x:v>
      </x:c>
      <x:c r="G22" s="13" t="str">
        <x:v>1只起</x:v>
      </x:c>
      <x:c r="H22" s="13" t="str">
        <x:v>A 详情页</x:v>
      </x:c>
      <x:c r="I22" s="13" t="str">
        <x:v>若AVA扩为16路，不能用1 A公共供电直接带所有驱动。</x:v>
      </x:c>
      <x:c r="J22" s="14" t="str">
        <x:v>https://www.lcsc.com/product-detail/C477928.html</x:v>
      </x:c>
    </x:row>
    <x:row r="23" ht="66" customHeight="1">
      <x:c r="A23" s="19" t="str">
        <x:v>漏极eFuse</x:v>
      </x:c>
      <x:c r="B23" s="19" t="str">
        <x:v>TPS26630RGER</x:v>
      </x:c>
      <x:c r="C23" s="24" t="n">
        <x:v>32</x:v>
      </x:c>
      <x:c r="D23" s="19" t="str">
        <x:v>立创/DigiKey</x:v>
      </x:c>
      <x:c r="E23" s="19" t="str">
        <x:v>0</x:v>
      </x:c>
      <x:c r="F23" s="19" t="str">
        <x:v>—</x:v>
      </x:c>
      <x:c r="G23" s="19" t="str">
        <x:v>缺货，不下单</x:v>
      </x:c>
      <x:c r="H23" s="19" t="str">
        <x:v>C 缺货</x:v>
      </x:c>
      <x:c r="I23" s="19" t="str">
        <x:v>RGET在所查Mouser页面也无确认现货；需重选限流/故障响应合适的供电保护。</x:v>
      </x:c>
      <x:c r="J23" s="20" t="str">
        <x:v>https://www.digikey.com/en/products/detail/texas-instruments/TPS26630RGER/10820326</x:v>
      </x:c>
    </x:row>
    <x:row r="24" ht="66" customHeight="1">
      <x:c r="A24" s="13" t="str">
        <x:v>原主控</x:v>
      </x:c>
      <x:c r="B24" s="13" t="str">
        <x:v>STM32F746ZGT7</x:v>
      </x:c>
      <x:c r="C24" s="21" t="n">
        <x:v>1</x:v>
      </x:c>
      <x:c r="D24" s="13" t="str">
        <x:v>原项目沿用</x:v>
      </x:c>
      <x:c r="E24" s="13" t="str">
        <x:v>复用</x:v>
      </x:c>
      <x:c r="F24" s="13" t="str">
        <x:v>—</x:v>
      </x:c>
      <x:c r="G24" s="13" t="str">
        <x:v>本轮不新增采购</x:v>
      </x:c>
      <x:c r="H24" s="13" t="str">
        <x:v>D 复用</x:v>
      </x:c>
      <x:c r="I24" s="13" t="str">
        <x:v>未重新核验MCU库存；不在本次射频替换采购范围。</x:v>
      </x:c>
      <x:c r="J24" s="14" t="str">
        <x:v>项目原BOM</x:v>
      </x:c>
    </x:row>
    <x:row r="25">
      <x:c r="A25" s="3"/>
      <x:c r="B25" s="3"/>
      <x:c r="C25" s="25"/>
      <x:c r="D25" s="3"/>
      <x:c r="E25" s="3"/>
      <x:c r="F25" s="3"/>
      <x:c r="G25" s="3"/>
      <x:c r="H25" s="3"/>
      <x:c r="I25" s="3"/>
      <x:c r="J25" s="3"/>
    </x:row>
    <x:row r="26">
      <x:c r="A26" s="3"/>
      <x:c r="B26" s="3"/>
      <x:c r="C26" s="25"/>
      <x:c r="D26" s="3"/>
      <x:c r="E26" s="3"/>
      <x:c r="F26" s="3"/>
      <x:c r="G26" s="3"/>
      <x:c r="H26" s="3"/>
      <x:c r="I26" s="3"/>
      <x:c r="J26" s="3"/>
    </x:row>
    <x:row r="27">
      <x:c r="C27" s="26"/>
    </x:row>
    <x:row r="28">
      <x:c r="C28" s="26"/>
    </x:row>
    <x:row r="29">
      <x:c r="C29" s="26"/>
    </x:row>
    <x:row r="30">
      <x:c r="C30" s="26"/>
    </x:row>
  </x:sheetData>
  <x:mergeCells>
    <x:mergeCell ref="A1:J1"/>
    <x:mergeCell ref="A2:J2"/>
    <x:mergeCell ref="A3:J3"/>
  </x:mergeCells>
  <x:pageMargins left="0.7" right="0.7" top="0.75" bottom="0.75" header="0.3" footer="0.3"/>
</x:worksheet>
</file>