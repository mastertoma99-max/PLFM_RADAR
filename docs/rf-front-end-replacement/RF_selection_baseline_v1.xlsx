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670f3837b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器件选型" sheetId="1" r:id="R5609ac1eb2f846a5"/>
    <x:sheet xmlns:r="http://schemas.openxmlformats.org/officeDocument/2006/relationships" name="链路与功耗" sheetId="2" r:id="R461bdf3c41e4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10">
    <x:font>
      <x:sz val="11"/>
      <x:name val="Carlito"/>
    </x:font>
    <x:font>
      <x:sz val="10"/>
      <x:color rgb="FF172B4D"/>
      <x:name val="Microsoft YaHei"/>
    </x:font>
    <x:font>
      <x:b/>
      <x:sz val="18"/>
      <x:color rgb="FFFFFFFF"/>
      <x:name val="Microsoft YaHe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9"/>
      <x:color rgb="FF667085"/>
      <x:name val="Microsoft YaHei"/>
    </x:font>
    <x:font>
      <x:b/>
      <x:sz val="11"/>
      <x:color rgb="FFFFFFFF"/>
      <x:name val="Microsoft YaHei"/>
    </x:font>
    <x:font>
      <x:sz val="10"/>
      <x:color rgb="FF008000"/>
      <x:name val="Microsoft YaHei"/>
    </x:font>
    <x:font>
      <x:b/>
      <x:sz val="10"/>
      <x:color rgb="FF172B4D"/>
      <x:name val="Microsoft YaHei"/>
    </x:font>
    <x:font>
      <x:b/>
      <x:sz val="14"/>
      <x:color rgb="FF172B4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D716F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8F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202" fontId="9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95c262b294582" /><Relationship Type="http://schemas.openxmlformats.org/officeDocument/2006/relationships/theme" Target="/xl/theme/theme1.xml" Id="Ra07c049ec5d5483e" /><Relationship Type="http://schemas.openxmlformats.org/officeDocument/2006/relationships/sharedStrings" Target="/xl/sharedStrings.xml" Id="R87e89f4abf0044c3" /><Relationship Type="http://schemas.openxmlformats.org/officeDocument/2006/relationships/worksheet" Target="/xl/worksheets/sheet1.xml" Id="R5609ac1eb2f846a5" /><Relationship Type="http://schemas.openxmlformats.org/officeDocument/2006/relationships/worksheet" Target="/xl/worksheets/sheet2.xml" Id="R461bdf3c41e4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.5" hidden="0" customWidth="1"/>
    <x:col min="2" max="2" width="11.880000114440918" hidden="0" customWidth="1"/>
    <x:col min="3" max="3" width="19.3799991607666" hidden="0" customWidth="1"/>
    <x:col min="4" max="4" width="28.1299991607666" hidden="0" customWidth="1"/>
    <x:col min="5" max="5" width="11.25" hidden="0" customWidth="1"/>
    <x:col min="6" max="6" width="9.25" hidden="0" customWidth="1"/>
    <x:col min="7" max="7" width="10" hidden="0" customWidth="1"/>
    <x:col min="8" max="8" width="17" hidden="0" customWidth="1"/>
    <x:col min="9" max="9" width="57.5" hidden="0" customWidth="1"/>
    <x:col min="10" max="10" width="3" hidden="0" customWidth="1"/>
    <x:col min="11" max="11" width="51.25" hidden="0" customWidth="1"/>
  </x:cols>
  <x:sheetData>
    <x:row r="1" ht="33" customHeight="1">
      <x:c r="A1" s="5" t="str">
        <x:v>10–11 GHz / 16路 / 10 W级扩展：器件选型建议</x:v>
      </x:c>
      <x:c r="B1" s="5"/>
      <x:c r="C1" s="5"/>
      <x:c r="D1" s="5"/>
      <x:c r="E1" s="5"/>
      <x:c r="F1" s="5"/>
      <x:c r="G1" s="5"/>
      <x:c r="H1" s="5"/>
      <x:c r="I1" s="5"/>
      <x:c r="J1" s="3"/>
      <x:c r="K1" s="3"/>
    </x:row>
    <x:row r="2" ht="36" customHeight="1">
      <x:c r="A2" s="3" t="str">
        <x:v>范围：用分立幅相网络替换4×ADAR1000；用QPA2962＋接收链替换16×ADTR1107。选型版 v1 / 2026-10-10；不是已完成原理图或验证的生产BOM。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 t="str">
        <x:v>通道数</x:v>
      </x:c>
      <x:c r="B3" s="7" t="n">
        <x:v>16</x:v>
      </x:c>
      <x:c r="C3" s="3" t="str">
        <x:v>每组通道数</x:v>
      </x:c>
      <x:c r="D3" s="7" t="n">
        <x:v>4</x:v>
      </x:c>
      <x:c r="E3" s="3" t="str">
        <x:v>分组数</x:v>
      </x:c>
      <x:c r="F3" s="8" t="n">
        <x:f>B3/D3</x:f>
        <x:v>4</x:v>
      </x:c>
      <x:c r="G3" s="3"/>
      <x:c r="H3" s="3"/>
      <x:c r="I3" s="3"/>
      <x:c r="J3" s="3"/>
      <x:c r="K3" s="3"/>
    </x:row>
    <x:row r="4" ht="31.5" customHeight="1">
      <x:c r="A4" s="3" t="str">
        <x:v>数量为新架构总装配量，非净新增采购量；器件复用须核对原位号/封装。所有价格未获同批量报价，不能据此判定比原方案便宜。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8.5" customHeight="1">
      <x:c r="A5" s="3" t="str">
        <x:v>TDD共用幅相方案。发射与接收不能同时工作；幅相、偏置、检波、切换功能均需重新接线和固件实现，非P2P替换。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4" customHeight="1">
      <x:c r="A7" s="10" t="str">
        <x:v>序号</x:v>
      </x:c>
      <x:c r="B7" s="10" t="str">
        <x:v>类别</x:v>
      </x:c>
      <x:c r="C7" s="10" t="str">
        <x:v>功能</x:v>
      </x:c>
      <x:c r="D7" s="10" t="str">
        <x:v>推荐完整型号</x:v>
      </x:c>
      <x:c r="E7" s="10" t="str">
        <x:v>用量基准</x:v>
      </x:c>
      <x:c r="F7" s="10" t="str">
        <x:v>基数</x:v>
      </x:c>
      <x:c r="G7" s="10" t="str">
        <x:v>16路总量</x:v>
      </x:c>
      <x:c r="H7" s="10" t="str">
        <x:v>选型状态</x:v>
      </x:c>
      <x:c r="I7" s="10" t="str">
        <x:v>条件/说明</x:v>
      </x:c>
      <x:c r="J7" s="3" t="str"/>
      <x:c r="K7" s="10" t="str">
        <x:v>原厂资料/依据</x:v>
      </x:c>
    </x:row>
    <x:row r="8" ht="64.5" customHeight="1">
      <x:c r="A8" s="11" t="n">
        <x:v>1</x:v>
      </x:c>
      <x:c r="B8" s="11" t="str">
        <x:v>射频</x:v>
      </x:c>
      <x:c r="C8" s="11" t="str">
        <x:v>末级功率放大</x:v>
      </x:c>
      <x:c r="D8" s="11" t="str">
        <x:v>QPA2962</x:v>
      </x:c>
      <x:c r="E8" s="11" t="str">
        <x:v>每路</x:v>
      </x:c>
      <x:c r="F8" s="17" t="n">
        <x:v>1</x:v>
      </x:c>
      <x:c r="G8" s="17" t="n">
        <x:f>$B$3*F8</x:f>
        <x:v>16</x:v>
      </x:c>
      <x:c r="H8" s="11" t="str">
        <x:v>推荐</x:v>
      </x:c>
      <x:c r="I8" s="11" t="str">
        <x:v>2–20 GHz；22 V；Pin≈+27 dBm 时 Psat 典型约+40 dBm。订货卷带 QPA2962TR7。只能替代 ADTR1107 的 PA 部分。</x:v>
      </x:c>
      <x:c r="J8" s="3" t="str"/>
      <x:c r="K8" s="12" t="str">
        <x:v>https://www.qorvo.com/products/p/QPA2962</x:v>
      </x:c>
    </x:row>
    <x:row r="9" ht="64.5" customHeight="1">
      <x:c r="A9" s="13" t="n">
        <x:v>2</x:v>
      </x:c>
      <x:c r="B9" s="13" t="str">
        <x:v>射频</x:v>
      </x:c>
      <x:c r="C9" s="13" t="str">
        <x:v>功率驱动</x:v>
      </x:c>
      <x:c r="D9" s="13" t="str">
        <x:v>PMA5-123-3W+</x:v>
      </x:c>
      <x:c r="E9" s="13" t="str">
        <x:v>每路</x:v>
      </x:c>
      <x:c r="F9" s="18" t="n">
        <x:v>1</x:v>
      </x:c>
      <x:c r="G9" s="18" t="n">
        <x:f>$B$3*F9</x:f>
        <x:v>16</x:v>
      </x:c>
      <x:c r="H9" s="13" t="str">
        <x:v>推荐</x:v>
      </x:c>
      <x:c r="I9" s="13" t="str">
        <x:v>8–12 GHz；7 V/1.25 A 静态；10–11 GHz 增益约28.3 dB。按约+30 dBm 输出使用；需独立负栅压。</x:v>
      </x:c>
      <x:c r="J9" s="3" t="str"/>
      <x:c r="K9" s="12" t="str">
        <x:v>https://www.minicircuits.com/WebStore/dashboard.html?model=PMA5-123-3W%2B</x:v>
      </x:c>
    </x:row>
    <x:row r="10" ht="64.5" customHeight="1">
      <x:c r="A10" s="11" t="n">
        <x:v>3</x:v>
      </x:c>
      <x:c r="B10" s="11" t="str">
        <x:v>射频</x:v>
      </x:c>
      <x:c r="C10" s="11" t="str">
        <x:v>TX前置放大＋RX低噪放</x:v>
      </x:c>
      <x:c r="D10" s="11" t="str">
        <x:v>PMA2-123LNW+</x:v>
      </x:c>
      <x:c r="E10" s="11" t="str">
        <x:v>每路</x:v>
      </x:c>
      <x:c r="F10" s="17" t="n">
        <x:v>2</x:v>
      </x:c>
      <x:c r="G10" s="17" t="n">
        <x:f>$B$3*F10</x:f>
        <x:v>32</x:v>
      </x:c>
      <x:c r="H10" s="11" t="str">
        <x:v>推荐</x:v>
      </x:c>
      <x:c r="I10" s="11" t="str">
        <x:v>每路 TX/RX 各1只，共32只；5 V；X波段增益约18–19 dB、NF约2.4–2.5 dB。RX放在限幅、消隐之后；持续供电。</x:v>
      </x:c>
      <x:c r="J10" s="3" t="str"/>
      <x:c r="K10" s="12" t="str">
        <x:v>https://www.minicircuits.com/WebStore/dashboard.html?model=PMA2-123LNW%2B</x:v>
      </x:c>
    </x:row>
    <x:row r="11" ht="64.5" customHeight="1">
      <x:c r="A11" s="13" t="n">
        <x:v>4</x:v>
      </x:c>
      <x:c r="B11" s="13" t="str">
        <x:v>幅相</x:v>
      </x:c>
      <x:c r="C11" s="13" t="str">
        <x:v>6位双向移相</x:v>
      </x:c>
      <x:c r="D11" s="13" t="str">
        <x:v>TGP2109-SM</x:v>
      </x:c>
      <x:c r="E11" s="13" t="str">
        <x:v>每路</x:v>
      </x:c>
      <x:c r="F11" s="18" t="n">
        <x:v>1</x:v>
      </x:c>
      <x:c r="G11" s="18" t="n">
        <x:f>$B$3*F11</x:f>
        <x:v>16</x:v>
      </x:c>
      <x:c r="H11" s="13" t="str">
        <x:v>推荐</x:v>
      </x:c>
      <x:c r="I11" s="13" t="str">
        <x:v>8–12 GHz；5.625°步进；约6 dB插损；并行0/5 V控制。步进不等同ADAR1000；TX/RX分别标定。</x:v>
      </x:c>
      <x:c r="J11" s="3" t="str"/>
      <x:c r="K11" s="12" t="str">
        <x:v>https://www.qorvo.com/products/p/TGP2109-SM</x:v>
      </x:c>
    </x:row>
    <x:row r="12" ht="64.5" customHeight="1">
      <x:c r="A12" s="11" t="n">
        <x:v>5</x:v>
      </x:c>
      <x:c r="B12" s="11" t="str">
        <x:v>幅相</x:v>
      </x:c>
      <x:c r="C12" s="11" t="str">
        <x:v>6位数控衰减</x:v>
      </x:c>
      <x:c r="D12" s="11" t="str">
        <x:v>ADRF5730BCCZN</x:v>
      </x:c>
      <x:c r="E12" s="11" t="str">
        <x:v>每路</x:v>
      </x:c>
      <x:c r="F12" s="17" t="n">
        <x:v>1</x:v>
      </x:c>
      <x:c r="G12" s="17" t="n">
        <x:f>$B$3*F12</x:f>
        <x:v>16</x:v>
      </x:c>
      <x:c r="H12" s="11" t="str">
        <x:v>推荐</x:v>
      </x:c>
      <x:c r="I12" s="11" t="str">
        <x:v>0.1–40 GHz；0.5 dB步进、31.5 dB范围；±3.3 V；约2.1 dB插损（匹配条件）。共用双向路径须按反向功率限值核验。</x:v>
      </x:c>
      <x:c r="J12" s="3" t="str"/>
      <x:c r="K12" s="12" t="str">
        <x:v>https://www.analog.com/en/products/adrf5730.html</x:v>
      </x:c>
    </x:row>
    <x:row r="13" ht="64.5" customHeight="1">
      <x:c r="A13" s="13" t="n">
        <x:v>6</x:v>
      </x:c>
      <x:c r="B13" s="13" t="str">
        <x:v>射频</x:v>
      </x:c>
      <x:c r="C13" s="13" t="str">
        <x:v>支路T/R选择＋RX消隐</x:v>
      </x:c>
      <x:c r="D13" s="13" t="str">
        <x:v>M3SWA2-34DR+</x:v>
      </x:c>
      <x:c r="E13" s="13" t="str">
        <x:v>每路</x:v>
      </x:c>
      <x:c r="F13" s="18" t="n">
        <x:v>2</x:v>
      </x:c>
      <x:c r="G13" s="18" t="n">
        <x:f>$B$3*F13</x:f>
        <x:v>32</x:v>
      </x:c>
      <x:c r="H13" s="13" t="str">
        <x:v>推荐</x:v>
      </x:c>
      <x:c r="I13" s="13" t="str">
        <x:v>每路2只：幅相后分TX/RX、限幅后接LNA/50Ω负载。±3.3 V；仅小信号侧。+27 dBm级承受能力，禁止接10 W输出。</x:v>
      </x:c>
      <x:c r="J13" s="3" t="str"/>
      <x:c r="K13" s="12" t="str">
        <x:v>https://www.minicircuits.com/WebStore/dashboard.html?model=M3SWA2-34DR%2B</x:v>
      </x:c>
    </x:row>
    <x:row r="14" ht="64.5" customHeight="1">
      <x:c r="A14" s="11" t="n">
        <x:v>7</x:v>
      </x:c>
      <x:c r="B14" s="11" t="str">
        <x:v>射频</x:v>
      </x:c>
      <x:c r="C14" s="11" t="str">
        <x:v>天线收发分离</x:v>
      </x:c>
      <x:c r="D14" s="11" t="str">
        <x:v>UIYBDC815A8T12</x:v>
      </x:c>
      <x:c r="E14" s="11" t="str">
        <x:v>每路</x:v>
      </x:c>
      <x:c r="F14" s="17" t="n">
        <x:v>1</x:v>
      </x:c>
      <x:c r="G14" s="17" t="n">
        <x:f>$B$3*F14</x:f>
        <x:v>16</x:v>
      </x:c>
      <x:c r="H14" s="14" t="str">
        <x:v>询价/机械确认</x:v>
      </x:c>
      <x:c r="I14" s="11" t="str">
        <x:v>8–12 GHz，30 W正/反向，插损≤0.5 dB、隔离≥18 dB；TAB嵌入式，8.9×15×7.8 mm。端口方向、磁场/阵列间距需复核。</x:v>
      </x:c>
      <x:c r="J14" s="3" t="str"/>
      <x:c r="K14" s="12" t="str">
        <x:v>https://www.uiyinc.com/Datasheet/UIYBDC815A.pdf</x:v>
      </x:c>
    </x:row>
    <x:row r="15" ht="64.5" customHeight="1">
      <x:c r="A15" s="13" t="n">
        <x:v>8</x:v>
      </x:c>
      <x:c r="B15" s="13" t="str">
        <x:v>保护</x:v>
      </x:c>
      <x:c r="C15" s="13" t="str">
        <x:v>接收输入限幅</x:v>
      </x:c>
      <x:c r="D15" s="13" t="str">
        <x:v>TGL2209-SM</x:v>
      </x:c>
      <x:c r="E15" s="13" t="str">
        <x:v>每路</x:v>
      </x:c>
      <x:c r="F15" s="18" t="n">
        <x:v>1</x:v>
      </x:c>
      <x:c r="G15" s="18" t="n">
        <x:f>$B$3*F15</x:f>
        <x:v>16</x:v>
      </x:c>
      <x:c r="H15" s="14" t="str">
        <x:v>脉冲条件待验证</x:v>
      </x:c>
      <x:c r="I15" s="13" t="str">
        <x:v>8–12 GHz；&lt;0.5 dB插损；平顶泄漏&lt;18.5 dBm、尖峰&lt;20.5 dBm；50 W为脉冲条件。天线失配将反射功率送入本支路，不能据此保证10 W CW。</x:v>
      </x:c>
      <x:c r="J15" s="3" t="str"/>
      <x:c r="K15" s="12" t="str">
        <x:v>https://www.qorvo.com/products/p/TGL2209-SM</x:v>
      </x:c>
    </x:row>
    <x:row r="16" ht="64.5" customHeight="1">
      <x:c r="A16" s="11" t="n">
        <x:v>9</x:v>
      </x:c>
      <x:c r="B16" s="11" t="str">
        <x:v>射频</x:v>
      </x:c>
      <x:c r="C16" s="11" t="str">
        <x:v>驱动与末级间3 dB垫片</x:v>
      </x:c>
      <x:c r="D16" s="11" t="str">
        <x:v>XAT-3+</x:v>
      </x:c>
      <x:c r="E16" s="11" t="str">
        <x:v>每路</x:v>
      </x:c>
      <x:c r="F16" s="17" t="n">
        <x:v>1</x:v>
      </x:c>
      <x:c r="G16" s="17" t="n">
        <x:f>$B$3*F16</x:f>
        <x:v>16</x:v>
      </x:c>
      <x:c r="H16" s="11" t="str">
        <x:v>推荐</x:v>
      </x:c>
      <x:c r="I16" s="11" t="str">
        <x:v>DC–45 GHz、2 W额定；约+30 dBm驱动经3 dB后得到约+27 dBm。不是限幅保护；必须限制PMA5输出，避免饱和时超过垫片热额定。</x:v>
      </x:c>
      <x:c r="J16" s="3" t="str"/>
      <x:c r="K16" s="12" t="str">
        <x:v>https://www.minicircuits.com/WebStore/dashboard.html?model=XAT-3%2B</x:v>
      </x:c>
    </x:row>
    <x:row r="17" ht="64.5" customHeight="1">
      <x:c r="A17" s="13" t="n">
        <x:v>10</x:v>
      </x:c>
      <x:c r="B17" s="13" t="str">
        <x:v>公共</x:v>
      </x:c>
      <x:c r="C17" s="13" t="str">
        <x:v>四路功分/合路</x:v>
      </x:c>
      <x:c r="D17" s="13" t="str">
        <x:v>EP4RKU+</x:v>
      </x:c>
      <x:c r="E17" s="13" t="str">
        <x:v>整机</x:v>
      </x:c>
      <x:c r="F17" s="18" t="n">
        <x:v>5</x:v>
      </x:c>
      <x:c r="G17" s="18" t="n">
        <x:f>F17</x:f>
        <x:v>5</x:v>
      </x:c>
      <x:c r="H17" s="13" t="str">
        <x:v>保留1＋新增4</x:v>
      </x:c>
      <x:c r="I17" s="13" t="str">
        <x:v>共5只组成两级1→16。原U16可保留；替代4颗ADAR后各增加1只。分路损耗含理想6 dB及额外插损，不能仅按6 dB算。</x:v>
      </x:c>
      <x:c r="J17" s="3" t="str"/>
      <x:c r="K17" s="12" t="str">
        <x:v>https://www.minicircuits.com/WebStore/dashboard.html?model=EP4RKU%2B</x:v>
      </x:c>
    </x:row>
    <x:row r="18" ht="64.5" customHeight="1">
      <x:c r="A18" s="11" t="n">
        <x:v>11</x:v>
      </x:c>
      <x:c r="B18" s="11" t="str">
        <x:v>公共</x:v>
      </x:c>
      <x:c r="C18" s="11" t="str">
        <x:v>公共TX前置增益</x:v>
      </x:c>
      <x:c r="D18" s="11" t="str">
        <x:v>AVA-183MP+</x:v>
      </x:c>
      <x:c r="E18" s="11" t="str">
        <x:v>整机</x:v>
      </x:c>
      <x:c r="F18" s="17" t="n">
        <x:v>1</x:v>
      </x:c>
      <x:c r="G18" s="17" t="n">
        <x:f>F18</x:f>
        <x:v>1</x:v>
      </x:c>
      <x:c r="H18" s="11" t="str">
        <x:v>预留装配</x:v>
      </x:c>
      <x:c r="I18" s="11" t="str">
        <x:v>0.05–18 GHz；8 V/160 mA；约16.5 dB增益。位于公共T/R开关TX侧，目标输出约+15 dBm；是否装配由上变频器实际输出决定。</x:v>
      </x:c>
      <x:c r="J18" s="3" t="str"/>
      <x:c r="K18" s="12" t="str">
        <x:v>https://www.minicircuits.com/WebStore/dashboard.html?model=AVA-183MP%2B</x:v>
      </x:c>
    </x:row>
    <x:row r="19" ht="64.5" customHeight="1">
      <x:c r="A19" s="13" t="n">
        <x:v>12</x:v>
      </x:c>
      <x:c r="B19" s="13" t="str">
        <x:v>公共</x:v>
      </x:c>
      <x:c r="C19" s="13" t="str">
        <x:v>公共T/R选择</x:v>
      </x:c>
      <x:c r="D19" s="13" t="str">
        <x:v>M3SWA2-34DR+</x:v>
      </x:c>
      <x:c r="E19" s="13" t="str">
        <x:v>整机</x:v>
      </x:c>
      <x:c r="F19" s="18" t="n">
        <x:v>1</x:v>
      </x:c>
      <x:c r="G19" s="18" t="n">
        <x:f>F19</x:f>
        <x:v>1</x:v>
      </x:c>
      <x:c r="H19" s="13" t="str">
        <x:v>优先复用原件</x:v>
      </x:c>
      <x:c r="I19" s="13" t="str">
        <x:v>连接公共TX输出、RX混频输入与一级功分器。与每路2只合计33只；不能把此数量当作净增采购数量。</x:v>
      </x:c>
      <x:c r="J19" s="3" t="str"/>
      <x:c r="K19" s="12" t="str">
        <x:v>https://www.minicircuits.com/WebStore/dashboard.html?model=M3SWA2-34DR%2B</x:v>
      </x:c>
    </x:row>
    <x:row r="20" ht="64.5" customHeight="1">
      <x:c r="A20" s="11" t="n">
        <x:v>13</x:v>
      </x:c>
      <x:c r="B20" s="11" t="str">
        <x:v>监测</x:v>
      </x:c>
      <x:c r="C20" s="11" t="str">
        <x:v>末级RF包络检波</x:v>
      </x:c>
      <x:c r="D20" s="11" t="str">
        <x:v>ADL6010ACPZN-R7</x:v>
      </x:c>
      <x:c r="E20" s="11" t="str">
        <x:v>每路</x:v>
      </x:c>
      <x:c r="F20" s="17" t="n">
        <x:v>1</x:v>
      </x:c>
      <x:c r="G20" s="17" t="n">
        <x:f>$B$3*F20</x:f>
        <x:v>16</x:v>
      </x:c>
      <x:c r="H20" s="11" t="str">
        <x:v>推荐保留</x:v>
      </x:c>
      <x:c r="I20" s="11" t="str">
        <x:v>0.5–43.5 GHz；输入工作范围−30～+15 dBm；5 V。接20 dB耦合器＋10 dB垫片；10 W时检波输入约+10 dBm。</x:v>
      </x:c>
      <x:c r="J20" s="3" t="str"/>
      <x:c r="K20" s="12" t="str">
        <x:v>https://www.analog.com/en/products/adl6010.html</x:v>
      </x:c>
    </x:row>
    <x:row r="21" ht="64.5" customHeight="1">
      <x:c r="A21" s="13" t="n">
        <x:v>14</x:v>
      </x:c>
      <x:c r="B21" s="13" t="str">
        <x:v>监测</x:v>
      </x:c>
      <x:c r="C21" s="13" t="str">
        <x:v>检波支路10 dB垫片</x:v>
      </x:c>
      <x:c r="D21" s="13" t="str">
        <x:v>XAT-10+</x:v>
      </x:c>
      <x:c r="E21" s="13" t="str">
        <x:v>每路</x:v>
      </x:c>
      <x:c r="F21" s="18" t="n">
        <x:v>1</x:v>
      </x:c>
      <x:c r="G21" s="18" t="n">
        <x:f>$B$3*F21</x:f>
        <x:v>16</x:v>
      </x:c>
      <x:c r="H21" s="14" t="str">
        <x:v>随耦合器选值</x:v>
      </x:c>
      <x:c r="I21" s="13" t="str">
        <x:v>DC–45 GHz。与20 dB耦合器搭配；若最终用30 dB PCB耦合器，可调整为0 dB连接，不能重复扣30+10 dB而不更新动态范围。</x:v>
      </x:c>
      <x:c r="J21" s="3" t="str"/>
      <x:c r="K21" s="12" t="str">
        <x:v>https://www.minicircuits.com/WebStore/dashboard.html?model=XAT-10%2B</x:v>
      </x:c>
    </x:row>
    <x:row r="22" ht="64.5" customHeight="1">
      <x:c r="A22" s="11" t="n">
        <x:v>15</x:v>
      </x:c>
      <x:c r="B22" s="11" t="str">
        <x:v>监测</x:v>
      </x:c>
      <x:c r="C22" s="11" t="str">
        <x:v>主线定向耦合器</x:v>
      </x:c>
      <x:c r="D22" s="11" t="str">
        <x:v>PCB 20 dB耦合器：TBD</x:v>
      </x:c>
      <x:c r="E22" s="11" t="str">
        <x:v>每路</x:v>
      </x:c>
      <x:c r="F22" s="17" t="n">
        <x:v>1</x:v>
      </x:c>
      <x:c r="G22" s="17" t="n">
        <x:f>$B$3*F22</x:f>
        <x:v>16</x:v>
      </x:c>
      <x:c r="H22" s="14" t="str">
        <x:v>待EM设计</x:v>
      </x:c>
      <x:c r="I22" s="11" t="str">
        <x:v>10–11 GHz、≥20 W、低主线损耗；不是标准IC。耦合度/方向性/终端均需板级验证；主线位于QPA与环行器之间。</x:v>
      </x:c>
      <x:c r="J22" s="3" t="str"/>
      <x:c r="K22" s="12" t="str">
        <x:v>项目设计项；样机参考 ZCDC20-263+</x:v>
      </x:c>
    </x:row>
    <x:row r="23" ht="64.5" customHeight="1">
      <x:c r="A23" s="13" t="n">
        <x:v>16</x:v>
      </x:c>
      <x:c r="B23" s="13" t="str">
        <x:v>调试</x:v>
      </x:c>
      <x:c r="C23" s="13" t="str">
        <x:v>同轴参考耦合器</x:v>
      </x:c>
      <x:c r="D23" s="13" t="str">
        <x:v>ZCDC20-263+</x:v>
      </x:c>
      <x:c r="E23" s="13" t="str">
        <x:v>整机</x:v>
      </x:c>
      <x:c r="F23" s="18" t="n">
        <x:v>1</x:v>
      </x:c>
      <x:c r="G23" s="18" t="n">
        <x:f>F23</x:f>
        <x:v>1</x:v>
      </x:c>
      <x:c r="H23" s="14" t="str">
        <x:v>调试共用/非量产数</x:v>
      </x:c>
      <x:c r="I23" s="13" t="str">
        <x:v>0.5–26.5 GHz、20 dB耦合、20 W级同轴模块。先买1只轮流验证各通道，不建议默认16只装板；如逐路常驻则应另计16只。</x:v>
      </x:c>
      <x:c r="J23" s="3" t="str"/>
      <x:c r="K23" s="12" t="str">
        <x:v>https://www.minicircuits.com/WebStore/dashboard.html?model=ZCDC20-263%2B</x:v>
      </x:c>
    </x:row>
    <x:row r="24" ht="64.5" customHeight="1">
      <x:c r="A24" s="11" t="n">
        <x:v>17</x:v>
      </x:c>
      <x:c r="B24" s="11" t="str">
        <x:v>保护</x:v>
      </x:c>
      <x:c r="C24" s="11" t="str">
        <x:v>RX消隐端接</x:v>
      </x:c>
      <x:c r="D24" s="11" t="str">
        <x:v>50 Ω微波端接：TBD</x:v>
      </x:c>
      <x:c r="E24" s="11" t="str">
        <x:v>每路</x:v>
      </x:c>
      <x:c r="F24" s="17" t="n">
        <x:v>1</x:v>
      </x:c>
      <x:c r="G24" s="17" t="n">
        <x:f>$B$3*F24</x:f>
        <x:v>16</x:v>
      </x:c>
      <x:c r="H24" s="14" t="str">
        <x:v>待定型</x:v>
      </x:c>
      <x:c r="I24" s="11" t="str">
        <x:v>限幅后SPDT的TX时段吸收端；建议≥0.25 W且11 GHz回波损耗合格。普通贴片电阻不能只凭阻值直接替代微波端接。</x:v>
      </x:c>
      <x:c r="J24" s="3" t="str"/>
      <x:c r="K24" s="12" t="str">
        <x:v>待按封装/基板选型</x:v>
      </x:c>
    </x:row>
    <x:row r="25" ht="64.5" customHeight="1">
      <x:c r="A25" s="13" t="n">
        <x:v>18</x:v>
      </x:c>
      <x:c r="B25" s="13" t="str">
        <x:v>控制</x:v>
      </x:c>
      <x:c r="C25" s="13" t="str">
        <x:v>PA偏置/电流/慢速ADC</x:v>
      </x:c>
      <x:c r="D25" s="13" t="str">
        <x:v>AD7293BCPZ</x:v>
      </x:c>
      <x:c r="E25" s="13" t="str">
        <x:v>每组4路</x:v>
      </x:c>
      <x:c r="F25" s="18" t="n">
        <x:v>2</x:v>
      </x:c>
      <x:c r="G25" s="18" t="n">
        <x:f>$F$3*F25</x:f>
        <x:v>8</x:v>
      </x:c>
      <x:c r="H25" s="13" t="str">
        <x:v>推荐</x:v>
      </x:c>
      <x:c r="I25" s="13" t="str">
        <x:v>每4路2只：4路QPA＋4路PMA5，共32个受控栅压。集成4路高边采流/4路双极DAC/4路ADC；±5 V模拟、3.3 V接口。</x:v>
      </x:c>
      <x:c r="J25" s="3" t="str"/>
      <x:c r="K25" s="12" t="str">
        <x:v>https://www.analog.com/en/products/ad7293.html</x:v>
      </x:c>
    </x:row>
    <x:row r="26" ht="64.5" customHeight="1">
      <x:c r="A26" s="11" t="n">
        <x:v>19</x:v>
      </x:c>
      <x:c r="B26" s="11" t="str">
        <x:v>控制</x:v>
      </x:c>
      <x:c r="C26" s="11" t="str">
        <x:v>栅压缓冲</x:v>
      </x:c>
      <x:c r="D26" s="11" t="str">
        <x:v>OPA4197IPWR</x:v>
      </x:c>
      <x:c r="E26" s="11" t="str">
        <x:v>每组4路</x:v>
      </x:c>
      <x:c r="F26" s="17" t="n">
        <x:v>2</x:v>
      </x:c>
      <x:c r="G26" s="17" t="n">
        <x:f>$F$3*F26</x:f>
        <x:v>8</x:v>
      </x:c>
      <x:c r="H26" s="11" t="str">
        <x:v>推荐</x:v>
      </x:c>
      <x:c r="I26" s="11" t="str">
        <x:v>每只4运放，32路栅压各1路；±5 V。AD7293规定负载±10 mA，PMA5栅流上限14 mA，保留缓冲；需验证负载、容性稳定和钳位。</x:v>
      </x:c>
      <x:c r="J26" s="3" t="str"/>
      <x:c r="K26" s="12" t="str">
        <x:v>https://www.ti.com/product/OPA4197</x:v>
      </x:c>
    </x:row>
    <x:row r="27" ht="64.5" customHeight="1">
      <x:c r="A27" s="13" t="n">
        <x:v>20</x:v>
      </x:c>
      <x:c r="B27" s="13" t="str">
        <x:v>控制</x:v>
      </x:c>
      <x:c r="C27" s="13" t="str">
        <x:v>栅压开通/关断切换</x:v>
      </x:c>
      <x:c r="D27" s="13" t="str">
        <x:v>TMUX6219DGKR</x:v>
      </x:c>
      <x:c r="E27" s="13" t="str">
        <x:v>每路</x:v>
      </x:c>
      <x:c r="F27" s="18" t="n">
        <x:v>2</x:v>
      </x:c>
      <x:c r="G27" s="18" t="n">
        <x:f>$B$3*F27</x:f>
        <x:v>32</x:v>
      </x:c>
      <x:c r="H27" s="13" t="str">
        <x:v>推荐</x:v>
      </x:c>
      <x:c r="I27" s="13" t="str">
        <x:v>每个QPA和PMA5各1只；±5 V供电，低有效/高有效按真值表设计，默认选择关断负压；FPGA定时。需量测电荷注入和恢复时间。</x:v>
      </x:c>
      <x:c r="J27" s="3" t="str"/>
      <x:c r="K27" s="12" t="str">
        <x:v>https://www.ti.com/product/TMUX6219</x:v>
      </x:c>
    </x:row>
    <x:row r="28" ht="64.5" customHeight="1">
      <x:c r="A28" s="11" t="n">
        <x:v>21</x:v>
      </x:c>
      <x:c r="B28" s="11" t="str">
        <x:v>控制</x:v>
      </x:c>
      <x:c r="C28" s="11" t="str">
        <x:v>移相控制锁存/电平转换</x:v>
      </x:c>
      <x:c r="D28" s="11" t="str">
        <x:v>SN74AHCT595PWR</x:v>
      </x:c>
      <x:c r="E28" s="11" t="str">
        <x:v>每路</x:v>
      </x:c>
      <x:c r="F28" s="17" t="n">
        <x:v>1</x:v>
      </x:c>
      <x:c r="G28" s="17" t="n">
        <x:f>$B$3*F28</x:f>
        <x:v>16</x:v>
      </x:c>
      <x:c r="H28" s="11" t="str">
        <x:v>推荐</x:v>
      </x:c>
      <x:c r="I28" s="11" t="str">
        <x:v>5 V供电，接受3.3 V TTL输入；6输出驱动TGP。影子寄存器预装数据后共用锁存；两余位可留用。</x:v>
      </x:c>
      <x:c r="J28" s="3" t="str"/>
      <x:c r="K28" s="12" t="str">
        <x:v>https://www.ti.com/product/SN74AHCT595</x:v>
      </x:c>
    </x:row>
    <x:row r="29" ht="64.5" customHeight="1">
      <x:c r="A29" s="13" t="n">
        <x:v>22</x:v>
      </x:c>
      <x:c r="B29" s="13" t="str">
        <x:v>控制</x:v>
      </x:c>
      <x:c r="C29" s="13" t="str">
        <x:v>衰减控制锁存</x:v>
      </x:c>
      <x:c r="D29" s="13" t="str">
        <x:v>SN74LVC595APWR</x:v>
      </x:c>
      <x:c r="E29" s="13" t="str">
        <x:v>每路</x:v>
      </x:c>
      <x:c r="F29" s="18" t="n">
        <x:v>1</x:v>
      </x:c>
      <x:c r="G29" s="18" t="n">
        <x:f>$B$3*F29</x:f>
        <x:v>16</x:v>
      </x:c>
      <x:c r="H29" s="13" t="str">
        <x:v>推荐</x:v>
      </x:c>
      <x:c r="I29" s="13" t="str">
        <x:v>3.3 V供电，6输出驱动ADRF并行模式。与移相同步锁存；需编排相位/幅度切换的保护空窗。</x:v>
      </x:c>
      <x:c r="J29" s="3" t="str"/>
      <x:c r="K29" s="12" t="str">
        <x:v>https://www.ti.com/product/SN74LVC595A</x:v>
      </x:c>
    </x:row>
    <x:row r="30" ht="64.5" customHeight="1">
      <x:c r="A30" s="11" t="n">
        <x:v>23</x:v>
      </x:c>
      <x:c r="B30" s="11" t="str">
        <x:v>控制</x:v>
      </x:c>
      <x:c r="C30" s="11" t="str">
        <x:v>T/R及锁存信号缓冲</x:v>
      </x:c>
      <x:c r="D30" s="11" t="str">
        <x:v>SN74LVC244APWR</x:v>
      </x:c>
      <x:c r="E30" s="11" t="str">
        <x:v>每组4路</x:v>
      </x:c>
      <x:c r="F30" s="17" t="n">
        <x:v>1</x:v>
      </x:c>
      <x:c r="G30" s="17" t="n">
        <x:f>$F$3*F30</x:f>
        <x:v>4</x:v>
      </x:c>
      <x:c r="H30" s="14" t="str">
        <x:v>布线暂估</x:v>
      </x:c>
      <x:c r="I30" s="11" t="str">
        <x:v>8路缓冲；按负载、走线长度、FPGA可用IO调整数量。不能用慢速I²C扩展器直接产生雷达脉冲时序。</x:v>
      </x:c>
      <x:c r="J30" s="3" t="str"/>
      <x:c r="K30" s="12" t="str">
        <x:v>https://www.ti.com/product/SN74LVC244A</x:v>
      </x:c>
    </x:row>
    <x:row r="31" ht="64.5" customHeight="1">
      <x:c r="A31" s="13" t="n">
        <x:v>24</x:v>
      </x:c>
      <x:c r="B31" s="13" t="str">
        <x:v>控制</x:v>
      </x:c>
      <x:c r="C31" s="13" t="str">
        <x:v>硬件保护逻辑</x:v>
      </x:c>
      <x:c r="D31" s="13" t="str">
        <x:v>SN74LVC08APWR</x:v>
      </x:c>
      <x:c r="E31" s="13" t="str">
        <x:v>每组4路</x:v>
      </x:c>
      <x:c r="F31" s="18" t="n">
        <x:v>1</x:v>
      </x:c>
      <x:c r="G31" s="18" t="n">
        <x:f>$F$3*F31</x:f>
        <x:v>4</x:v>
      </x:c>
      <x:c r="H31" s="14" t="str">
        <x:v>逻辑暂估</x:v>
      </x:c>
      <x:c r="I31" s="13" t="str">
        <x:v>负压正常、过流/过温正常、FPGA允许共同产生RF/漏极许可；上电默认禁止。门数量最终依保护逻辑图调整。</x:v>
      </x:c>
      <x:c r="J31" s="3" t="str"/>
      <x:c r="K31" s="12" t="str">
        <x:v>https://www.ti.com/product/SN74LVC08A</x:v>
      </x:c>
    </x:row>
    <x:row r="32" ht="64.5" customHeight="1">
      <x:c r="A32" s="11" t="n">
        <x:v>25</x:v>
      </x:c>
      <x:c r="B32" s="11" t="str">
        <x:v>保护</x:v>
      </x:c>
      <x:c r="C32" s="11" t="str">
        <x:v>电源窗口监控</x:v>
      </x:c>
      <x:c r="D32" s="11" t="str">
        <x:v>TPS3700DDCR</x:v>
      </x:c>
      <x:c r="E32" s="11" t="str">
        <x:v>每组4路</x:v>
      </x:c>
      <x:c r="F32" s="17" t="n">
        <x:v>1</x:v>
      </x:c>
      <x:c r="G32" s="17" t="n">
        <x:f>$F$3*F32</x:f>
        <x:v>4</x:v>
      </x:c>
      <x:c r="H32" s="14" t="str">
        <x:v>外围待计算</x:v>
      </x:c>
      <x:c r="I32" s="11" t="str">
        <x:v>用于偏置电源异常检测并硬件切断漏极许可；负压检测须经电阻网络电平平移，不能直接把负压接输入。</x:v>
      </x:c>
      <x:c r="J32" s="3" t="str"/>
      <x:c r="K32" s="12" t="str">
        <x:v>https://www.ti.com/product/TPS3700</x:v>
      </x:c>
    </x:row>
    <x:row r="33" ht="64.5" customHeight="1">
      <x:c r="A33" s="13" t="n">
        <x:v>26</x:v>
      </x:c>
      <x:c r="B33" s="13" t="str">
        <x:v>监测</x:v>
      </x:c>
      <x:c r="C33" s="13" t="str">
        <x:v>漏极电流采样电阻</x:v>
      </x:c>
      <x:c r="D33" s="13" t="str">
        <x:v>WSL2512R0100FEA</x:v>
      </x:c>
      <x:c r="E33" s="13" t="str">
        <x:v>每路</x:v>
      </x:c>
      <x:c r="F33" s="18" t="n">
        <x:v>2</x:v>
      </x:c>
      <x:c r="G33" s="18" t="n">
        <x:f>$B$3*F33</x:f>
        <x:v>32</x:v>
      </x:c>
      <x:c r="H33" s="14" t="str">
        <x:v>阻值暂定</x:v>
      </x:c>
      <x:c r="I33" s="13" t="str">
        <x:v>10 mΩ、1%、1 W；各QPA/PMA5一只，Kelvin引出至AD7293。采流增益、浪涌能力及误差需按实测电流复核。</x:v>
      </x:c>
      <x:c r="J33" s="3" t="str"/>
      <x:c r="K33" s="12" t="str">
        <x:v>https://www.vishay.com/docs/30100/wsl.pdf</x:v>
      </x:c>
    </x:row>
    <x:row r="34" ht="64.5" customHeight="1">
      <x:c r="A34" s="11" t="n">
        <x:v>27</x:v>
      </x:c>
      <x:c r="B34" s="11" t="str">
        <x:v>监测</x:v>
      </x:c>
      <x:c r="C34" s="11" t="str">
        <x:v>外置结温代理传感器</x:v>
      </x:c>
      <x:c r="D34" s="11" t="str">
        <x:v>MMBT3904LT1G</x:v>
      </x:c>
      <x:c r="E34" s="11" t="str">
        <x:v>每路</x:v>
      </x:c>
      <x:c r="F34" s="17" t="n">
        <x:v>1</x:v>
      </x:c>
      <x:c r="G34" s="17" t="n">
        <x:f>$B$3*F34</x:f>
        <x:v>16</x:v>
      </x:c>
      <x:c r="H34" s="14" t="str">
        <x:v>布局待确认</x:v>
      </x:c>
      <x:c r="I34" s="11" t="str">
        <x:v>二极管连接供AD7293外置温度接口使用；8只AD7293共16温度通道。贴近各QPA壳体/热区，仅测局部温度，非芯片结温。</x:v>
      </x:c>
      <x:c r="J34" s="3" t="str"/>
      <x:c r="K34" s="12" t="str">
        <x:v>https://www.onsemi.com/products/discrete-power-modules/general-purpose-and-low-vcesat-transistors/MMBT3904L</x:v>
      </x:c>
    </x:row>
    <x:row r="35" ht="64.5" customHeight="1">
      <x:c r="A35" s="13" t="n">
        <x:v>28</x:v>
      </x:c>
      <x:c r="B35" s="13" t="str">
        <x:v>电源</x:v>
      </x:c>
      <x:c r="C35" s="13" t="str">
        <x:v>22 V主功率母线控制器</x:v>
      </x:c>
      <x:c r="D35" s="13" t="str">
        <x:v>LM5146RGYR</x:v>
      </x:c>
      <x:c r="E35" s="13" t="str">
        <x:v>每组4路</x:v>
      </x:c>
      <x:c r="F35" s="18" t="n">
        <x:v>1</x:v>
      </x:c>
      <x:c r="G35" s="18" t="n">
        <x:f>$F$3*F35</x:f>
        <x:v>4</x:v>
      </x:c>
      <x:c r="H35" s="14" t="str">
        <x:v>条件推荐</x:v>
      </x:c>
      <x:c r="I35" s="13" t="str">
        <x:v>先用外置22 V限流电源调试；集成板按每组约15 A级起算并复核射频工作电流。输入母线未冻结；外置MOS、电感、补偿尚未选定。</x:v>
      </x:c>
      <x:c r="J35" s="3" t="str"/>
      <x:c r="K35" s="12" t="str">
        <x:v>https://www.ti.com/product/LM5146</x:v>
      </x:c>
    </x:row>
    <x:row r="36" ht="64.5" customHeight="1">
      <x:c r="A36" s="11" t="n">
        <x:v>29</x:v>
      </x:c>
      <x:c r="B36" s="11" t="str">
        <x:v>电源</x:v>
      </x:c>
      <x:c r="C36" s="11" t="str">
        <x:v>7 V驱动电源模块</x:v>
      </x:c>
      <x:c r="D36" s="11" t="str">
        <x:v>TPSM63610RDFR</x:v>
      </x:c>
      <x:c r="E36" s="11" t="str">
        <x:v>每组4路</x:v>
      </x:c>
      <x:c r="F36" s="17" t="n">
        <x:v>1</x:v>
      </x:c>
      <x:c r="G36" s="17" t="n">
        <x:f>$F$3*F36</x:f>
        <x:v>4</x:v>
      </x:c>
      <x:c r="H36" s="14" t="str">
        <x:v>条件推荐</x:v>
      </x:c>
      <x:c r="I36" s="11" t="str">
        <x:v>由22 V降到7 V，额定8 A连续/10 A峰值需满足热条件；每组供4只PMA5及5 V支路。最大输入36 V，不能直接接48 V。</x:v>
      </x:c>
      <x:c r="J36" s="3" t="str"/>
      <x:c r="K36" s="12" t="str">
        <x:v>https://www.ti.com/product/TPSM63610</x:v>
      </x:c>
    </x:row>
    <x:row r="37" ht="64.5" customHeight="1">
      <x:c r="A37" s="13" t="n">
        <x:v>30</x:v>
      </x:c>
      <x:c r="B37" s="13" t="str">
        <x:v>电源</x:v>
      </x:c>
      <x:c r="C37" s="13" t="str">
        <x:v>5 V射频/模拟低噪声</x:v>
      </x:c>
      <x:c r="D37" s="13" t="str">
        <x:v>TPS7A4701RGWR</x:v>
      </x:c>
      <x:c r="E37" s="13" t="str">
        <x:v>每组4路</x:v>
      </x:c>
      <x:c r="F37" s="18" t="n">
        <x:v>2</x:v>
      </x:c>
      <x:c r="G37" s="18" t="n">
        <x:f>$F$3*F37</x:f>
        <x:v>8</x:v>
      </x:c>
      <x:c r="H37" s="14" t="str">
        <x:v>条件推荐</x:v>
      </x:c>
      <x:c r="I37" s="13" t="str">
        <x:v>7 V→5 V；每组两路分配TX/RX与偏置控制，总计8只；1 A/LDO。需校核热耗、启动顺序和负载，不直接从22 V线性降到5 V。</x:v>
      </x:c>
      <x:c r="J37" s="3" t="str"/>
      <x:c r="K37" s="12" t="str">
        <x:v>https://www.ti.com/product/TPS7A47</x:v>
      </x:c>
    </x:row>
    <x:row r="38" ht="64.5" customHeight="1">
      <x:c r="A38" s="11" t="n">
        <x:v>31</x:v>
      </x:c>
      <x:c r="B38" s="11" t="str">
        <x:v>电源</x:v>
      </x:c>
      <x:c r="C38" s="11" t="str">
        <x:v>3.3 V射频/逻辑低噪声</x:v>
      </x:c>
      <x:c r="D38" s="11" t="str">
        <x:v>TPS7A2033PDBVR</x:v>
      </x:c>
      <x:c r="E38" s="11" t="str">
        <x:v>每组4路</x:v>
      </x:c>
      <x:c r="F38" s="17" t="n">
        <x:v>1</x:v>
      </x:c>
      <x:c r="G38" s="17" t="n">
        <x:f>$F$3*F38</x:f>
        <x:v>4</x:v>
      </x:c>
      <x:c r="H38" s="14" t="str">
        <x:v>条件推荐</x:v>
      </x:c>
      <x:c r="I38" s="11" t="str">
        <x:v>300 mA级；5 V→3.3 V，供ADRF、RF开关及本组逻辑。可在原3.3 V有充分电流/噪声余量时取消。</x:v>
      </x:c>
      <x:c r="J38" s="3" t="str"/>
      <x:c r="K38" s="12" t="str">
        <x:v>https://www.ti.com/product/TPS7A20</x:v>
      </x:c>
    </x:row>
    <x:row r="39" ht="64.5" customHeight="1">
      <x:c r="A39" s="13" t="n">
        <x:v>32</x:v>
      </x:c>
      <x:c r="B39" s="13" t="str">
        <x:v>电源</x:v>
      </x:c>
      <x:c r="C39" s="13" t="str">
        <x:v>负压产生</x:v>
      </x:c>
      <x:c r="D39" s="13" t="str">
        <x:v>TPS63700DRCR</x:v>
      </x:c>
      <x:c r="E39" s="13" t="str">
        <x:v>每组4路</x:v>
      </x:c>
      <x:c r="F39" s="18" t="n">
        <x:v>1</x:v>
      </x:c>
      <x:c r="G39" s="18" t="n">
        <x:f>$F$3*F39</x:f>
        <x:v>4</x:v>
      </x:c>
      <x:c r="H39" s="14" t="str">
        <x:v>条件推荐</x:v>
      </x:c>
      <x:c r="I39" s="13" t="str">
        <x:v>5 V→约−6 V，再经负LDO生成−5/−3.3/−2.5 V。输出能力与压比有关，不能把360 mA当作所有工况保证值；先负压后漏极。</x:v>
      </x:c>
      <x:c r="J39" s="3" t="str"/>
      <x:c r="K39" s="12" t="str">
        <x:v>https://www.ti.com/product/TPS63700</x:v>
      </x:c>
    </x:row>
    <x:row r="40" ht="64.5" customHeight="1">
      <x:c r="A40" s="11" t="n">
        <x:v>33</x:v>
      </x:c>
      <x:c r="B40" s="11" t="str">
        <x:v>电源</x:v>
      </x:c>
      <x:c r="C40" s="11" t="str">
        <x:v>负压低噪声稳压</x:v>
      </x:c>
      <x:c r="D40" s="11" t="str">
        <x:v>TPS7A3001DGN</x:v>
      </x:c>
      <x:c r="E40" s="11" t="str">
        <x:v>每组4路</x:v>
      </x:c>
      <x:c r="F40" s="17" t="n">
        <x:v>3</x:v>
      </x:c>
      <x:c r="G40" s="17" t="n">
        <x:f>$F$3*F40</x:f>
        <x:v>12</x:v>
      </x:c>
      <x:c r="H40" s="14" t="str">
        <x:v>条件推荐</x:v>
      </x:c>
      <x:c r="I40" s="11" t="str">
        <x:v>每组各1只：−5 V给AD7293/运放/TMUX；−3.3 V给RF及QPA关断候选；−2.5 V为PMA关断候选。关断栅压须试验确认，不等于固定工作栅压。</x:v>
      </x:c>
      <x:c r="J40" s="3" t="str"/>
      <x:c r="K40" s="12" t="str">
        <x:v>https://www.ti.com/product/TPS7A30</x:v>
      </x:c>
    </x:row>
    <x:row r="41" ht="64.5" customHeight="1">
      <x:c r="A41" s="13" t="n">
        <x:v>34</x:v>
      </x:c>
      <x:c r="B41" s="13" t="str">
        <x:v>电源</x:v>
      </x:c>
      <x:c r="C41" s="13" t="str">
        <x:v>公共前放8 V电源</x:v>
      </x:c>
      <x:c r="D41" s="13" t="str">
        <x:v>LM5164DDAR</x:v>
      </x:c>
      <x:c r="E41" s="13" t="str">
        <x:v>整机</x:v>
      </x:c>
      <x:c r="F41" s="18" t="n">
        <x:v>1</x:v>
      </x:c>
      <x:c r="G41" s="18" t="n">
        <x:f>F41</x:f>
        <x:v>1</x:v>
      </x:c>
      <x:c r="H41" s="14" t="str">
        <x:v>随AVA装配</x:v>
      </x:c>
      <x:c r="I41" s="13" t="str">
        <x:v>22 V→8 V；1 A级Buck，外部电感/滤波待定。供AVA-183MP+；检查开关纹波及杂散。</x:v>
      </x:c>
      <x:c r="J41" s="3" t="str"/>
      <x:c r="K41" s="12" t="str">
        <x:v>https://www.ti.com/product/LM5164</x:v>
      </x:c>
    </x:row>
    <x:row r="42" ht="64.5" customHeight="1">
      <x:c r="A42" s="11" t="n">
        <x:v>35</x:v>
      </x:c>
      <x:c r="B42" s="11" t="str">
        <x:v>电源</x:v>
      </x:c>
      <x:c r="C42" s="11" t="str">
        <x:v>逐路漏极供电保护</x:v>
      </x:c>
      <x:c r="D42" s="11" t="str">
        <x:v>TPS26630RGER</x:v>
      </x:c>
      <x:c r="E42" s="11" t="str">
        <x:v>每路</x:v>
      </x:c>
      <x:c r="F42" s="17" t="n">
        <x:v>2</x:v>
      </x:c>
      <x:c r="G42" s="17" t="n">
        <x:f>$B$3*F42</x:f>
        <x:v>32</x:v>
      </x:c>
      <x:c r="H42" s="14" t="str">
        <x:v>外围待计算</x:v>
      </x:c>
      <x:c r="I42" s="11" t="str">
        <x:v>每QPA/PMA5各1只，60 V/6 A，VQFN-24；作为上电/故障切断，不承担快速RF脉冲门控。限流必须低于放大器允许电流，外围储能要纳入保护分析。</x:v>
      </x:c>
      <x:c r="J42" s="3" t="str"/>
      <x:c r="K42" s="12" t="str">
        <x:v>https://www.ti.com/lit/ds/symlink/tps2663.pdf</x:v>
      </x:c>
    </x:row>
    <x:row r="43" ht="64.5" customHeight="1">
      <x:c r="A43" s="13" t="n">
        <x:v>36</x:v>
      </x:c>
      <x:c r="B43" s="13" t="str">
        <x:v>沿用</x:v>
      </x:c>
      <x:c r="C43" s="13" t="str">
        <x:v>主控制器</x:v>
      </x:c>
      <x:c r="D43" s="13" t="str">
        <x:v>STM32F746ZGT7</x:v>
      </x:c>
      <x:c r="E43" s="13" t="str">
        <x:v>整机</x:v>
      </x:c>
      <x:c r="F43" s="18" t="n">
        <x:v>1</x:v>
      </x:c>
      <x:c r="G43" s="18" t="n">
        <x:f>F43</x:f>
        <x:v>1</x:v>
      </x:c>
      <x:c r="H43" s="13" t="str">
        <x:v>沿用</x:v>
      </x:c>
      <x:c r="I43" s="13" t="str">
        <x:v>本次不替换主控；管理SPI、标定表及慢速监测。快速T/R、门控与锁存由现有FPGA产生；IO数量须重新分配。</x:v>
      </x:c>
      <x:c r="J43" s="3" t="str"/>
      <x:c r="K43" s="12" t="str">
        <x:v>项目现有主板/固件</x:v>
      </x:c>
    </x:row>
    <x:row r="44" ht="64.5" customHeight="1">
      <x:c r="A44" s="11" t="n">
        <x:v>37</x:v>
      </x:c>
      <x:c r="B44" s="11" t="str">
        <x:v>沿用</x:v>
      </x:c>
      <x:c r="C44" s="11" t="str">
        <x:v>FPGA、本振、变频及ADC</x:v>
      </x:c>
      <x:c r="D44" s="11" t="str">
        <x:v>项目现有器件</x:v>
      </x:c>
      <x:c r="E44" s="11" t="str">
        <x:v>整机</x:v>
      </x:c>
      <x:c r="F44" s="17"/>
      <x:c r="G44" s="17" t="str">
        <x:v>TBD</x:v>
      </x:c>
      <x:c r="H44" s="11" t="str">
        <x:v>沿用/需接口修改</x:v>
      </x:c>
      <x:c r="I44" s="11" t="str">
        <x:v>保留现有FPGA、AD9253采样链及本振/混频方案；本表只覆盖替代ADAR1000/ADTR1107新增或相关器件。整机其他原BOM仍有效。</x:v>
      </x:c>
      <x:c r="J44" s="3" t="str"/>
      <x:c r="K44" s="12" t="str">
        <x:v>项目原理图/BOM</x:v>
      </x:c>
    </x:row>
    <x:row r="45" ht="64.5" customHeight="1">
      <x:c r="A45" s="13" t="n">
        <x:v>38</x:v>
      </x:c>
      <x:c r="B45" s="13" t="str">
        <x:v>配套</x:v>
      </x:c>
      <x:c r="C45" s="13" t="str">
        <x:v>匹配/隔直/偏置/去耦</x:v>
      </x:c>
      <x:c r="D45" s="13" t="str">
        <x:v>依厂家评估板＋EM：TBD</x:v>
      </x:c>
      <x:c r="E45" s="13" t="str">
        <x:v>每路</x:v>
      </x:c>
      <x:c r="F45" s="18"/>
      <x:c r="G45" s="18" t="str">
        <x:v>TBD</x:v>
      </x:c>
      <x:c r="H45" s="14" t="str">
        <x:v>待原理图</x:v>
      </x:c>
      <x:c r="I45" s="13" t="str">
        <x:v>RF匹配线、隔直电容、栅漏偏置电感、电源去耦、电阻、耦合端接等；数量/值/封装在原理图完成后冻结，不能作为零采购项。</x:v>
      </x:c>
      <x:c r="J45" s="3" t="str"/>
      <x:c r="K45" s="12" t="str">
        <x:v>各器件官方评估板BOM/布局</x:v>
      </x:c>
    </x:row>
    <x:row r="46" ht="64.5" customHeight="1">
      <x:c r="A46" s="11" t="n">
        <x:v>39</x:v>
      </x:c>
      <x:c r="B46" s="11" t="str">
        <x:v>配套</x:v>
      </x:c>
      <x:c r="C46" s="11" t="str">
        <x:v>滤波器及互连</x:v>
      </x:c>
      <x:c r="D46" s="11" t="str">
        <x:v>10–11 GHz滤波/连接件：TBD</x:v>
      </x:c>
      <x:c r="E46" s="11" t="str">
        <x:v>整机</x:v>
      </x:c>
      <x:c r="F46" s="17"/>
      <x:c r="G46" s="17" t="str">
        <x:v>TBD</x:v>
      </x:c>
      <x:c r="H46" s="14" t="str">
        <x:v>待杂散/结构指标</x:v>
      </x:c>
      <x:c r="I46" s="11" t="str">
        <x:v>根据实际LO±IF、谐波和带外抑制需求保留公共TX/RX滤波位置；SMA/SMP、微波线缆、天线过渡结构及检修口按布局定型。</x:v>
      </x:c>
      <x:c r="J46" s="3" t="str"/>
      <x:c r="K46" s="12" t="str">
        <x:v>需实际IF扫频范围和结构图</x:v>
      </x:c>
    </x:row>
    <x:row r="47" ht="64.5" customHeight="1">
      <x:c r="A47" s="13" t="n">
        <x:v>40</x:v>
      </x:c>
      <x:c r="B47" s="13" t="str">
        <x:v>配套</x:v>
      </x:c>
      <x:c r="C47" s="13" t="str">
        <x:v>散热/屏蔽/功率电源</x:v>
      </x:c>
      <x:c r="D47" s="13" t="str">
        <x:v>铜热扩散板＋冷板/风冷：TBD</x:v>
      </x:c>
      <x:c r="E47" s="13" t="str">
        <x:v>整机</x:v>
      </x:c>
      <x:c r="F47" s="18"/>
      <x:c r="G47" s="18" t="str">
        <x:v>TBD</x:v>
      </x:c>
      <x:c r="H47" s="13" t="str">
        <x:v>必须设计</x:v>
      </x:c>
      <x:c r="I47" s="13" t="str">
        <x:v>按实际占空比、栅压门控、环境温度及结到壳热阻核算；QPA与驱动需可靠导热结构。不得按16×10 W RF功率直接作为整机电耗。</x:v>
      </x:c>
      <x:c r="J47" s="3" t="str"/>
      <x:c r="K47" s="12" t="str">
        <x:v>链路与功耗工作表</x:v>
      </x:c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</x:sheetData>
  <x:mergeCells>
    <x:mergeCell ref="A1:I1"/>
    <x:mergeCell ref="A2:I2"/>
    <x:mergeCell ref="A4:I4"/>
    <x:mergeCell ref="A5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.130000114440918" hidden="0" customWidth="1"/>
    <x:col min="2" max="2" width="20" hidden="0" customWidth="1"/>
    <x:col min="3" max="3" width="25" hidden="0" customWidth="1"/>
    <x:col min="4" max="4" width="16.25" hidden="0" customWidth="1"/>
    <x:col min="5" max="5" width="20.6299991607666" hidden="0" customWidth="1"/>
    <x:col min="6" max="6" width="17.5" hidden="0" customWidth="1"/>
    <x:col min="7" max="7" width="17.5" hidden="0" customWidth="1"/>
    <x:col min="8" max="8" width="17.5" hidden="0" customWidth="1"/>
    <x:col min="9" max="9" width="52.5" hidden="0" customWidth="1"/>
    <x:col min="10" max="10" width="3" hidden="0" customWidth="1"/>
    <x:col min="11" max="11" width="50" hidden="0" customWidth="1"/>
  </x:cols>
  <x:sheetData>
    <x:row r="1" ht="33" customHeight="1">
      <x:c r="A1" s="5" t="str">
        <x:v>链路预算 / 功耗 / 冻结前必须解决的条件</x:v>
      </x:c>
      <x:c r="B1" s="5"/>
      <x:c r="C1" s="5"/>
      <x:c r="D1" s="5"/>
      <x:c r="E1" s="5"/>
      <x:c r="F1" s="5"/>
      <x:c r="G1" s="5"/>
      <x:c r="H1" s="5"/>
      <x:c r="I1" s="5"/>
      <x:c r="J1" s="3"/>
      <x:c r="K1" s="3"/>
    </x:row>
    <x:row r="2" ht="33" customHeight="1">
      <x:c r="A2" s="3" t="str">
        <x:v>以下为工程估算。蓝字为可调整设计输入，黑字为计算结果；不是保证指标。10 W按PA端典型饱和输出定义。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2.5" customHeight="1">
      <x:c r="A4" s="19" t="str">
        <x:v>连接关系（每路共用一套幅相器件）</x:v>
      </x:c>
      <x:c r="B4" s="19"/>
      <x:c r="C4" s="19"/>
      <x:c r="D4" s="19"/>
      <x:c r="E4" s="19"/>
      <x:c r="F4" s="19"/>
      <x:c r="G4" s="19"/>
      <x:c r="H4" s="19"/>
      <x:c r="I4" s="19"/>
      <x:c r="J4" s="3"/>
      <x:c r="K4" s="3"/>
    </x:row>
    <x:row r="5" ht="36" customHeight="1">
      <x:c r="A5" s="3" t="str">
        <x:v>公共TX：上变频 → AVA-183MP+（按输入电平选装）→ 公共T/R开关 → 1:4 → 1:4 → ADRF5730 → TGP2109 → 支路T/R开关。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6" customHeight="1">
      <x:c r="A6" s="3" t="str">
        <x:v>支路TX：支路T/R → PMA2-123LNW+ → PMA5-123-3W+ → XAT-3+ → QPA2962 → 定向耦合器 → 环行器 → 天线。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9" customHeight="1">
      <x:c r="A7" s="3" t="str">
        <x:v>支路RX：天线 → 环行器 → TGL2209-SM → RX消隐开关 → PMA2-123LNW+ → 支路T/R → 移相/衰减 → 两级合路 → 公共T/R → 原RX混频链。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6" customHeight="1">
      <x:c r="A8" s="3" t="str">
        <x:v>环行器：TX输入、天线、RX输出按厂家规定的循环方向接线。TX期间RX消隐开关接50Ω负载；RX时接LNA。限幅器位于消隐开关前。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2.5" customHeight="1">
      <x:c r="A10" s="19" t="str">
        <x:v>TX预算：从公共前放输出到QPA输入</x:v>
      </x:c>
      <x:c r="B10" s="19"/>
      <x:c r="C10" s="19"/>
      <x:c r="D10" s="19"/>
      <x:c r="E10" s="19"/>
      <x:c r="F10" s="19"/>
      <x:c r="G10" s="19"/>
      <x:c r="H10" s="19"/>
      <x:c r="I10" s="19"/>
      <x:c r="J10" s="3"/>
      <x:c r="K10" s="3"/>
    </x:row>
    <x:row r="11" ht="28.5" customHeight="1">
      <x:c r="A11" s="25" t="str">
        <x:v>步骤</x:v>
      </x:c>
      <x:c r="B11" s="25" t="str">
        <x:v>器件/段落</x:v>
      </x:c>
      <x:c r="C11" s="25" t="str">
        <x:v>数值性质</x:v>
      </x:c>
      <x:c r="D11" s="25" t="str">
        <x:v>增益/损耗 dB</x:v>
      </x:c>
      <x:c r="E11" s="25" t="str">
        <x:v>节点功率 dBm</x:v>
      </x:c>
      <x:c r="F11" s="25" t="str">
        <x:v>核算单位</x:v>
      </x:c>
      <x:c r="G11" s="25" t="str">
        <x:v>基准值</x:v>
      </x:c>
      <x:c r="H11" s="25" t="str"/>
      <x:c r="I11" s="25" t="str">
        <x:v>解释</x:v>
      </x:c>
      <x:c r="J11" s="3"/>
      <x:c r="K11" s="3"/>
    </x:row>
    <x:row r="12" ht="35.25" customHeight="1">
      <x:c r="A12" s="3" t="str">
        <x:v>起点</x:v>
      </x:c>
      <x:c r="B12" s="3" t="str">
        <x:v>公共前放输出</x:v>
      </x:c>
      <x:c r="C12" s="3" t="str">
        <x:v>设计目标</x:v>
      </x:c>
      <x:c r="D12" s="20" t="n">
        <x:v>0</x:v>
      </x:c>
      <x:c r="E12" s="20" t="n">
        <x:f>G12</x:f>
        <x:v>15</x:v>
      </x:c>
      <x:c r="F12" s="3" t="str">
        <x:v>dBm</x:v>
      </x:c>
      <x:c r="G12" s="6" t="n">
        <x:v>15</x:v>
      </x:c>
      <x:c r="H12" s="3" t="str"/>
      <x:c r="I12" s="3" t="str">
        <x:v>上变频链实际输出未给出。+15 dBm为预算起点；AVA需约−1.5 dBm输入，频点增益待测。</x:v>
      </x:c>
      <x:c r="J12" s="3"/>
      <x:c r="K12" s="3"/>
    </x:row>
    <x:row r="13" ht="35.25" customHeight="1">
      <x:c r="A13" s="3" t="str">
        <x:v>1</x:v>
      </x:c>
      <x:c r="B13" s="3" t="str">
        <x:v>公共T/R</x:v>
      </x:c>
      <x:c r="C13" s="3" t="str">
        <x:v>暂估</x:v>
      </x:c>
      <x:c r="D13" s="21" t="n">
        <x:v>-1</x:v>
      </x:c>
      <x:c r="E13" s="20" t="n">
        <x:f>E12+D13</x:f>
        <x:v>14</x:v>
      </x:c>
      <x:c r="F13" s="3" t="str"/>
      <x:c r="G13" s="3" t="str"/>
      <x:c r="H13" s="3" t="str"/>
      <x:c r="I13" s="3" t="str">
        <x:v>小信号开关损耗预留；以实测S参数替换。</x:v>
      </x:c>
      <x:c r="J13" s="3"/>
      <x:c r="K13" s="3"/>
    </x:row>
    <x:row r="14" ht="35.25" customHeight="1">
      <x:c r="A14" s="3" t="str">
        <x:v>2</x:v>
      </x:c>
      <x:c r="B14" s="3" t="str">
        <x:v>一级1:4</x:v>
      </x:c>
      <x:c r="C14" s="3" t="str">
        <x:v>设计预留</x:v>
      </x:c>
      <x:c r="D14" s="21" t="n">
        <x:v>-10</x:v>
      </x:c>
      <x:c r="E14" s="20" t="n">
        <x:f>E13+D14</x:f>
        <x:v>4</x:v>
      </x:c>
      <x:c r="F14" s="3" t="str"/>
      <x:c r="G14" s="3" t="str"/>
      <x:c r="H14" s="3" t="str"/>
      <x:c r="I14" s="3" t="str">
        <x:v>含理想6 dB分配损耗＋约4 dB额外损耗。EP4RKU不能仅按6 dB。</x:v>
      </x:c>
      <x:c r="J14" s="3"/>
      <x:c r="K14" s="3"/>
    </x:row>
    <x:row r="15" ht="35.25" customHeight="1">
      <x:c r="A15" s="3" t="str">
        <x:v>3</x:v>
      </x:c>
      <x:c r="B15" s="3" t="str">
        <x:v>二级1:4</x:v>
      </x:c>
      <x:c r="C15" s="3" t="str">
        <x:v>设计预留</x:v>
      </x:c>
      <x:c r="D15" s="21" t="n">
        <x:v>-10</x:v>
      </x:c>
      <x:c r="E15" s="20" t="n">
        <x:f>E14+D15</x:f>
        <x:v>-6</x:v>
      </x:c>
      <x:c r="F15" s="3" t="str"/>
      <x:c r="G15" s="3" t="str"/>
      <x:c r="H15" s="3" t="str"/>
      <x:c r="I15" s="3" t="str">
        <x:v>同上；该无源方案损耗较大，量产可评估PCB Wilkinson，需EM及合路相位验证。</x:v>
      </x:c>
      <x:c r="J15" s="3"/>
      <x:c r="K15" s="3"/>
    </x:row>
    <x:row r="16" ht="35.25" customHeight="1">
      <x:c r="A16" s="3" t="str">
        <x:v>4</x:v>
      </x:c>
      <x:c r="B16" s="3" t="str">
        <x:v>ADRF5730零衰减态</x:v>
      </x:c>
      <x:c r="C16" s="3" t="str">
        <x:v>典型预算</x:v>
      </x:c>
      <x:c r="D16" s="21" t="n">
        <x:v>-2.1</x:v>
      </x:c>
      <x:c r="E16" s="20" t="n">
        <x:f>E15+D16</x:f>
        <x:v>-8.1</x:v>
      </x:c>
      <x:c r="F16" s="3" t="str"/>
      <x:c r="G16" s="3" t="str"/>
      <x:c r="H16" s="3" t="str"/>
      <x:c r="I16" s="3" t="str">
        <x:v>另设的数控衰减会进一步降低功率。</x:v>
      </x:c>
      <x:c r="J16" s="3"/>
      <x:c r="K16" s="3"/>
    </x:row>
    <x:row r="17" ht="35.25" customHeight="1">
      <x:c r="A17" s="3" t="str">
        <x:v>5</x:v>
      </x:c>
      <x:c r="B17" s="3" t="str">
        <x:v>TGP2109-SM</x:v>
      </x:c>
      <x:c r="C17" s="3" t="str">
        <x:v>典型预算</x:v>
      </x:c>
      <x:c r="D17" s="21" t="n">
        <x:v>-6</x:v>
      </x:c>
      <x:c r="E17" s="20" t="n">
        <x:f>E16+D17</x:f>
        <x:v>-14.1</x:v>
      </x:c>
      <x:c r="F17" s="3" t="str"/>
      <x:c r="G17" s="3" t="str"/>
      <x:c r="H17" s="3" t="str"/>
      <x:c r="I17" s="3" t="str">
        <x:v>相位状态、频率和温度会引起附加变化。</x:v>
      </x:c>
      <x:c r="J17" s="3"/>
      <x:c r="K17" s="3"/>
    </x:row>
    <x:row r="18" ht="35.25" customHeight="1">
      <x:c r="A18" s="3" t="str">
        <x:v>6</x:v>
      </x:c>
      <x:c r="B18" s="3" t="str">
        <x:v>支路T/R</x:v>
      </x:c>
      <x:c r="C18" s="3" t="str">
        <x:v>暂估</x:v>
      </x:c>
      <x:c r="D18" s="21" t="n">
        <x:v>-1</x:v>
      </x:c>
      <x:c r="E18" s="20" t="n">
        <x:f>E17+D18</x:f>
        <x:v>-15.1</x:v>
      </x:c>
      <x:c r="F18" s="3" t="str"/>
      <x:c r="G18" s="3" t="str"/>
      <x:c r="H18" s="3" t="str"/>
      <x:c r="I18" s="3" t="str">
        <x:v>小信号开关。</x:v>
      </x:c>
      <x:c r="J18" s="3"/>
      <x:c r="K18" s="3"/>
    </x:row>
    <x:row r="19" ht="35.25" customHeight="1">
      <x:c r="A19" s="3" t="str">
        <x:v>7</x:v>
      </x:c>
      <x:c r="B19" s="3" t="str">
        <x:v>走线/匹配/互连</x:v>
      </x:c>
      <x:c r="C19" s="3" t="str">
        <x:v>预留</x:v>
      </x:c>
      <x:c r="D19" s="21" t="n">
        <x:v>-1</x:v>
      </x:c>
      <x:c r="E19" s="20" t="n">
        <x:f>E18+D19</x:f>
        <x:v>-16.1</x:v>
      </x:c>
      <x:c r="F19" s="3" t="str"/>
      <x:c r="G19" s="3" t="str"/>
      <x:c r="H19" s="3" t="str"/>
      <x:c r="I19" s="3" t="str">
        <x:v>并非已完成的PCB仿真值。</x:v>
      </x:c>
      <x:c r="J19" s="3"/>
      <x:c r="K19" s="3"/>
    </x:row>
    <x:row r="20" ht="35.25" customHeight="1">
      <x:c r="A20" s="3" t="str">
        <x:v>8</x:v>
      </x:c>
      <x:c r="B20" s="3" t="str">
        <x:v>PMA2-123LNW+</x:v>
      </x:c>
      <x:c r="C20" s="3" t="str">
        <x:v>近似增益</x:v>
      </x:c>
      <x:c r="D20" s="21" t="n">
        <x:v>18</x:v>
      </x:c>
      <x:c r="E20" s="20" t="n">
        <x:f>E19+D20</x:f>
        <x:v>1.8999999999999986</x:v>
      </x:c>
      <x:c r="F20" s="3" t="str"/>
      <x:c r="G20" s="3" t="str"/>
      <x:c r="H20" s="3" t="str"/>
      <x:c r="I20" s="3" t="str">
        <x:v>X波段18–19 dB级；精确值按实测。</x:v>
      </x:c>
      <x:c r="J20" s="3"/>
      <x:c r="K20" s="3"/>
    </x:row>
    <x:row r="21" ht="35.25" customHeight="1">
      <x:c r="A21" s="3" t="str">
        <x:v>9</x:v>
      </x:c>
      <x:c r="B21" s="3" t="str">
        <x:v>PMA5-123-3W+</x:v>
      </x:c>
      <x:c r="C21" s="3" t="str">
        <x:v>10–11 GHz典型</x:v>
      </x:c>
      <x:c r="D21" s="21" t="n">
        <x:v>28.3</x:v>
      </x:c>
      <x:c r="E21" s="20" t="n">
        <x:f>E20+D21</x:f>
        <x:v>30.2</x:v>
      </x:c>
      <x:c r="F21" s="3" t="str"/>
      <x:c r="G21" s="3" t="str"/>
      <x:c r="H21" s="3" t="str"/>
      <x:c r="I21" s="3" t="str">
        <x:v>目标输出约+30 dBm；低于其约+34 dBm压缩点。</x:v>
      </x:c>
      <x:c r="J21" s="3"/>
      <x:c r="K21" s="3"/>
    </x:row>
    <x:row r="22" ht="35.25" customHeight="1">
      <x:c r="A22" s="3" t="str">
        <x:v>10</x:v>
      </x:c>
      <x:c r="B22" s="3" t="str">
        <x:v>XAT-3+</x:v>
      </x:c>
      <x:c r="C22" s="3" t="str">
        <x:v>标称</x:v>
      </x:c>
      <x:c r="D22" s="21" t="n">
        <x:v>-3</x:v>
      </x:c>
      <x:c r="E22" s="20" t="n">
        <x:f>E21+D22</x:f>
        <x:v>27.2</x:v>
      </x:c>
      <x:c r="F22" s="3" t="str"/>
      <x:c r="G22" s="3" t="str"/>
      <x:c r="H22" s="3" t="str"/>
      <x:c r="I22" s="3" t="str">
        <x:v>QPA目标驱动约+27 dBm。当前预算有少量余量，可用ADRF衰减校准。</x:v>
      </x:c>
      <x:c r="J22" s="3"/>
      <x:c r="K22" s="3"/>
    </x:row>
    <x:row r="23" ht="35.25" customHeight="1">
      <x:c r="A23" s="3" t="str">
        <x:v>接收链的两级合路、移相及衰减损耗仍存在。此表未把16路相干合成简单等同单路增益；需另做阵列噪声系数、增益及ADC满量程预算。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2.5" customHeight="1">
      <x:c r="A25" s="19" t="str">
        <x:v>功耗：全部通道持续加偏置、无RF输入时</x:v>
      </x:c>
      <x:c r="B25" s="19"/>
      <x:c r="C25" s="19"/>
      <x:c r="D25" s="19"/>
      <x:c r="E25" s="19"/>
      <x:c r="F25" s="19"/>
      <x:c r="G25" s="19"/>
      <x:c r="H25" s="19"/>
      <x:c r="I25" s="19"/>
      <x:c r="J25" s="3"/>
      <x:c r="K25" s="3"/>
    </x:row>
    <x:row r="26" ht="28.5" customHeight="1">
      <x:c r="A26" s="25" t="str">
        <x:v>项目</x:v>
      </x:c>
      <x:c r="B26" s="25" t="str">
        <x:v>供电 V</x:v>
      </x:c>
      <x:c r="C26" s="25" t="str">
        <x:v>静态电流 A/只</x:v>
      </x:c>
      <x:c r="D26" s="25" t="str">
        <x:v>数量</x:v>
      </x:c>
      <x:c r="E26" s="25" t="str">
        <x:v>总DC功率 W</x:v>
      </x:c>
      <x:c r="F26" s="25" t="str">
        <x:v>说明</x:v>
      </x:c>
      <x:c r="G26" s="25" t="str"/>
      <x:c r="H26" s="25" t="str"/>
      <x:c r="I26" s="25" t="str">
        <x:v>数据来源</x:v>
      </x:c>
      <x:c r="J26" s="3"/>
      <x:c r="K26" s="3"/>
    </x:row>
    <x:row r="27" ht="30" customHeight="1">
      <x:c r="A27" s="3" t="str">
        <x:v>QPA2962</x:v>
      </x:c>
      <x:c r="B27" s="22" t="n">
        <x:v>22</x:v>
      </x:c>
      <x:c r="C27" s="22" t="n">
        <x:v>1.68</x:v>
      </x:c>
      <x:c r="D27" s="3" t="n">
        <x:f>'器件选型'!B3</x:f>
        <x:v>16</x:v>
      </x:c>
      <x:c r="E27" s="23" t="n">
        <x:f>B27*C27*D27</x:f>
        <x:v>591.36</x:v>
      </x:c>
      <x:c r="F27" s="3" t="str">
        <x:v>漏极静态</x:v>
      </x:c>
      <x:c r="G27" s="3" t="str"/>
      <x:c r="H27" s="3" t="str"/>
      <x:c r="I27" s="3" t="str">
        <x:v>QPA2962本地数据手册p2</x:v>
      </x:c>
      <x:c r="J27" s="3"/>
      <x:c r="K27" s="3"/>
    </x:row>
    <x:row r="28" ht="30" customHeight="1">
      <x:c r="A28" s="3" t="str">
        <x:v>PMA5驱动</x:v>
      </x:c>
      <x:c r="B28" s="22" t="n">
        <x:v>7</x:v>
      </x:c>
      <x:c r="C28" s="22" t="n">
        <x:v>1.25</x:v>
      </x:c>
      <x:c r="D28" s="3" t="n">
        <x:f>'器件选型'!B3</x:f>
        <x:v>16</x:v>
      </x:c>
      <x:c r="E28" s="23" t="n">
        <x:f>B28*C28*D28</x:f>
        <x:v>140</x:v>
      </x:c>
      <x:c r="F28" s="3" t="str">
        <x:v>漏极静态</x:v>
      </x:c>
      <x:c r="G28" s="3" t="str"/>
      <x:c r="H28" s="3" t="str"/>
      <x:c r="I28" s="3" t="str">
        <x:v>PMA5-123-3W+本地数据手册</x:v>
      </x:c>
      <x:c r="J28" s="3"/>
      <x:c r="K28" s="3"/>
    </x:row>
    <x:row r="29" ht="30" customHeight="1">
      <x:c r="A29" s="14" t="str">
        <x:v>合计</x:v>
      </x:c>
      <x:c r="B29" s="14"/>
      <x:c r="C29" s="14"/>
      <x:c r="D29" s="14"/>
      <x:c r="E29" s="27" t="n">
        <x:f>SUM(E27:E28)</x:f>
        <x:v>731.36</x:v>
      </x:c>
      <x:c r="F29" s="14" t="str">
        <x:v>仅两种功率放大器</x:v>
      </x:c>
      <x:c r="G29" s="14" t="str"/>
      <x:c r="H29" s="14" t="str"/>
      <x:c r="I29" s="14" t="str">
        <x:v>不含LNA/公共放大/偏置控制/DC-DC损耗</x:v>
      </x:c>
      <x:c r="J29" s="3"/>
      <x:c r="K29" s="3"/>
    </x:row>
    <x:row r="30" ht="40.5" customHeight="1">
      <x:c r="A30" s="3" t="str">
        <x:v>731 W级为“持续偏置静态”的估算，不是10 W×16的RF输出，也不是已知占空比的平均功耗。仅降低RF输入而保持原静态偏置，不能显著消除这部分发热。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39" customHeight="1">
      <x:c r="A31" s="3" t="str">
        <x:v>初期建议先做1路并限流；如果要降平均热耗，应设计栅压/漏极时序或经厂家认可的低静态电流工作点。功率脉冲开启后的DC电流需按实测重新核算。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2.5" customHeight="1">
      <x:c r="A33" s="19" t="str">
        <x:v>PA端与天线口功率（示例损耗）</x:v>
      </x:c>
      <x:c r="B33" s="19"/>
      <x:c r="C33" s="19"/>
      <x:c r="D33" s="19"/>
      <x:c r="E33" s="19"/>
      <x:c r="F33" s="19"/>
      <x:c r="G33" s="19"/>
      <x:c r="H33" s="19"/>
      <x:c r="I33" s="19"/>
      <x:c r="J33" s="3"/>
      <x:c r="K33" s="3"/>
    </x:row>
    <x:row r="34" ht="28.5" customHeight="1">
      <x:c r="A34" s="25" t="str">
        <x:v>PA输出 dBm</x:v>
      </x:c>
      <x:c r="B34" s="25" t="str">
        <x:v>环行器损耗 dB</x:v>
      </x:c>
      <x:c r="C34" s="25" t="str">
        <x:v>耦合/走线损耗 dB</x:v>
      </x:c>
      <x:c r="D34" s="25" t="str">
        <x:v>天线口 dBm</x:v>
      </x:c>
      <x:c r="E34" s="25" t="str">
        <x:v>天线口 W</x:v>
      </x:c>
      <x:c r="F34" s="25" t="str">
        <x:v>说明</x:v>
      </x:c>
      <x:c r="G34" s="25" t="str"/>
      <x:c r="H34" s="25" t="str"/>
      <x:c r="I34" s="25" t="str"/>
      <x:c r="J34" s="3"/>
      <x:c r="K34" s="3"/>
    </x:row>
    <x:row r="35" ht="36" customHeight="1">
      <x:c r="A35" s="6" t="n">
        <x:v>40</x:v>
      </x:c>
      <x:c r="B35" s="6" t="n">
        <x:v>0.5</x:v>
      </x:c>
      <x:c r="C35" s="6" t="n">
        <x:v>0.5</x:v>
      </x:c>
      <x:c r="D35" s="23" t="n">
        <x:f>A35-B35-C35</x:f>
        <x:v>39</x:v>
      </x:c>
      <x:c r="E35" s="23" t="n">
        <x:f>10^((D35-30)/10)</x:f>
        <x:v>7.943282347242816</x:v>
      </x:c>
      <x:c r="F35" s="3" t="str">
        <x:v>示例约7.94 W；严格要求天线口10 W，则QPA2962余量不足。不能保证全频/全温10 W。</x:v>
      </x:c>
      <x:c r="G35" s="3"/>
      <x:c r="H35" s="3"/>
      <x:c r="I35" s="3"/>
      <x:c r="J35" s="3"/>
      <x:c r="K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2.5" customHeight="1">
      <x:c r="A37" s="19" t="str">
        <x:v>冻结前条件与初期调试顺序</x:v>
      </x:c>
      <x:c r="B37" s="19"/>
      <x:c r="C37" s="19"/>
      <x:c r="D37" s="19"/>
      <x:c r="E37" s="19"/>
      <x:c r="F37" s="19"/>
      <x:c r="G37" s="19"/>
      <x:c r="H37" s="19"/>
      <x:c r="I37" s="19"/>
      <x:c r="J37" s="3"/>
      <x:c r="K37" s="3"/>
    </x:row>
    <x:row r="38" ht="49.5" customHeight="1">
      <x:c r="A38" s="11" t="str">
        <x:v>偏置</x:v>
      </x:c>
      <x:c r="B38" s="11"/>
      <x:c r="C38" s="11" t="str">
        <x:v>QPA栅压绝对范围−4～0 V；PMA5为−3～−0.4 V。不能把−5 V电源直接接栅极，也不能把0 V作为统一关断值。关断候选−3.3/−2.5 V需按实物验证，工作点按静态漏极电流逐只标定。</x:v>
      </x:c>
      <x:c r="D38" s="11"/>
      <x:c r="E38" s="11"/>
      <x:c r="F38" s="11"/>
      <x:c r="G38" s="11"/>
      <x:c r="H38" s="11"/>
      <x:c r="I38" s="11"/>
      <x:c r="J38" s="3"/>
      <x:c r="K38" s="3"/>
    </x:row>
    <x:row r="39" ht="49.5" customHeight="1">
      <x:c r="A39" s="13" t="str">
        <x:v>时序</x:v>
      </x:c>
      <x:c r="B39" s="13"/>
      <x:c r="C39" s="13" t="str">
        <x:v>负压有效→关断栅压→漏极限流供电→缓慢校准工作栅压→RF；关闭时反向执行。偏置电源故障需硬件撤销漏极许可，储能电容的放电路径必须一并设计。</x:v>
      </x:c>
      <x:c r="D39" s="13"/>
      <x:c r="E39" s="13"/>
      <x:c r="F39" s="13"/>
      <x:c r="G39" s="13"/>
      <x:c r="H39" s="13"/>
      <x:c r="I39" s="13"/>
      <x:c r="J39" s="3"/>
      <x:c r="K39" s="3"/>
    </x:row>
    <x:row r="40" ht="49.5" customHeight="1">
      <x:c r="A40" s="11" t="str">
        <x:v>闭环</x:v>
      </x:c>
      <x:c r="B40" s="11"/>
      <x:c r="C40" s="11" t="str">
        <x:v>AD7293用于静态电流校准及监测。脉冲发射时保持已校准栅压或正确消隐电流环，不能让慢速电流闭环追踪RF包络。外加OPA/TMUX后必须验证闭环稳定性。</x:v>
      </x:c>
      <x:c r="D40" s="11"/>
      <x:c r="E40" s="11"/>
      <x:c r="F40" s="11"/>
      <x:c r="G40" s="11"/>
      <x:c r="H40" s="11"/>
      <x:c r="I40" s="11"/>
      <x:c r="J40" s="3"/>
      <x:c r="K40" s="3"/>
    </x:row>
    <x:row r="41" ht="49.5" customHeight="1">
      <x:c r="A41" s="13" t="str">
        <x:v>保护</x:v>
      </x:c>
      <x:c r="B41" s="13"/>
      <x:c r="C41" s="13" t="str">
        <x:v>环行器隔离18 dB时，40 dBm发射可有约22 dBm直接泄漏；严重天线失配则可把接近全部反射功率送入RX口。限幅、消隐、LNA供电及恢复时间需联合验证。</x:v>
      </x:c>
      <x:c r="D41" s="13"/>
      <x:c r="E41" s="13"/>
      <x:c r="F41" s="13"/>
      <x:c r="G41" s="13"/>
      <x:c r="H41" s="13"/>
      <x:c r="I41" s="13"/>
      <x:c r="J41" s="3"/>
      <x:c r="K41" s="3"/>
    </x:row>
    <x:row r="42" ht="49.5" customHeight="1">
      <x:c r="A42" s="11" t="str">
        <x:v>时序能力</x:v>
      </x:c>
      <x:c r="B42" s="11"/>
      <x:c r="C42" s="11" t="str">
        <x:v>6位移相5.625°、6位衰减0.5 dB；寄存器链、锁存及RF稳定时间不同于ADAR1000。先预装下个状态，再在保护空窗锁存，TX/RX使用各自标定表。</x:v>
      </x:c>
      <x:c r="D42" s="11"/>
      <x:c r="E42" s="11"/>
      <x:c r="F42" s="11"/>
      <x:c r="G42" s="11"/>
      <x:c r="H42" s="11"/>
      <x:c r="I42" s="11"/>
      <x:c r="J42" s="3"/>
      <x:c r="K42" s="3"/>
    </x:row>
    <x:row r="43" ht="49.5" customHeight="1">
      <x:c r="A43" s="13" t="str">
        <x:v>检波</x:v>
      </x:c>
      <x:c r="B43" s="13"/>
      <x:c r="C43" s="13" t="str">
        <x:v>ADL6010响应快，但AD7293是慢速多路监测ADC；窄脉冲检测可能需要峰值保持/同步采样，电路与型号在脉宽确定后补齐。当前不能据此承诺逐脉冲幅度测量。</x:v>
      </x:c>
      <x:c r="D43" s="13"/>
      <x:c r="E43" s="13"/>
      <x:c r="F43" s="13"/>
      <x:c r="G43" s="13"/>
      <x:c r="H43" s="13"/>
      <x:c r="I43" s="13"/>
      <x:c r="J43" s="3"/>
      <x:c r="K43" s="3"/>
    </x:row>
    <x:row r="44" ht="49.5" customHeight="1">
      <x:c r="A44" s="11" t="str">
        <x:v>成本</x:v>
      </x:c>
      <x:c r="B44" s="11"/>
      <x:c r="C44" s="11" t="str">
        <x:v>TGP2109-SM与ADRF5730分别需要16只，控制及保护亦增加。必须按“原4只ADAR＋16只ADTR”整套比较；不能把一个4通道ADAR的价格与单通道分立器件相比。</x:v>
      </x:c>
      <x:c r="D44" s="11"/>
      <x:c r="E44" s="11"/>
      <x:c r="F44" s="11"/>
      <x:c r="G44" s="11"/>
      <x:c r="H44" s="11"/>
      <x:c r="I44" s="11"/>
      <x:c r="J44" s="3"/>
      <x:c r="K44" s="3"/>
    </x:row>
    <x:row r="45" ht="49.5" customHeight="1">
      <x:c r="A45" s="13" t="str">
        <x:v>采购</x:v>
      </x:c>
      <x:c r="B45" s="13"/>
      <x:c r="C45" s="13" t="str">
        <x:v>优先立创检索，原厂/授权分销补充；尚未获得同数量同交期报价，不给虚构总价。可先采购1路RF链＋1组偏置控制。示例立创：M3SWA2 C33062043、EP4RKU C3154970，库存需下单前确认。</x:v>
      </x:c>
      <x:c r="D45" s="13"/>
      <x:c r="E45" s="13"/>
      <x:c r="F45" s="13"/>
      <x:c r="G45" s="13"/>
      <x:c r="H45" s="13"/>
      <x:c r="I45" s="13"/>
      <x:c r="J45" s="3"/>
      <x:c r="K45" s="3"/>
    </x:row>
    <x:row r="46" ht="49.5" customHeight="1">
      <x:c r="A46" s="11" t="str">
        <x:v>阶段1</x:v>
      </x:c>
      <x:c r="B46" s="11"/>
      <x:c r="C46" s="11" t="str">
        <x:v>50Ω假负载、低RF输入、1路上电，确认各级增益及栅/漏电流；在没有RF输入时先完成偏置时序及失电测试。</x:v>
      </x:c>
      <x:c r="D46" s="11"/>
      <x:c r="E46" s="11"/>
      <x:c r="F46" s="11"/>
      <x:c r="G46" s="11"/>
      <x:c r="H46" s="11"/>
      <x:c r="I46" s="11"/>
      <x:c r="J46" s="3"/>
      <x:c r="K46" s="3"/>
    </x:row>
    <x:row r="47" ht="49.5" customHeight="1">
      <x:c r="A47" s="13" t="str">
        <x:v>阶段2</x:v>
      </x:c>
      <x:c r="B47" s="13"/>
      <x:c r="C47" s="13" t="str">
        <x:v>逐步提升功率，测QPA输入/输出、各级压缩、杂散、相位漂移与温升；不允许在XAT-3+之后接入未知反射负载。</x:v>
      </x:c>
      <x:c r="D47" s="13"/>
      <x:c r="E47" s="13"/>
      <x:c r="F47" s="13"/>
      <x:c r="G47" s="13"/>
      <x:c r="H47" s="13"/>
      <x:c r="I47" s="13"/>
      <x:c r="J47" s="3"/>
      <x:c r="K47" s="3"/>
    </x:row>
    <x:row r="48" ht="49.5" customHeight="1">
      <x:c r="A48" s="11" t="str">
        <x:v>阶段3</x:v>
      </x:c>
      <x:c r="B48" s="11"/>
      <x:c r="C48" s="11" t="str">
        <x:v>在规定脉宽/占空比下验证RX保护和最短恢复时间，再复制4路及16路。锁定实际IF、板材叠层、RF布局、滤波器、连接器与散热后输出生产BOM。</x:v>
      </x:c>
      <x:c r="D48" s="11"/>
      <x:c r="E48" s="11"/>
      <x:c r="F48" s="11"/>
      <x:c r="G48" s="11"/>
      <x:c r="H48" s="11"/>
      <x:c r="I48" s="11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</x:sheetData>
  <x:mergeCells>
    <x:mergeCell ref="A1:I1"/>
    <x:mergeCell ref="A2:I2"/>
    <x:mergeCell ref="A4:I4"/>
    <x:mergeCell ref="A5:I5"/>
    <x:mergeCell ref="A6:I6"/>
    <x:mergeCell ref="A7:I7"/>
    <x:mergeCell ref="A8:I8"/>
    <x:mergeCell ref="A10:I10"/>
    <x:mergeCell ref="A23:I23"/>
    <x:mergeCell ref="A25:I25"/>
    <x:mergeCell ref="A30:I30"/>
    <x:mergeCell ref="A31:I31"/>
    <x:mergeCell ref="A33:I33"/>
    <x:mergeCell ref="F35:I35"/>
    <x:mergeCell ref="A37:I37"/>
    <x:mergeCell ref="A38:B38"/>
    <x:mergeCell ref="C38:I38"/>
    <x:mergeCell ref="A39:B39"/>
    <x:mergeCell ref="C39:I39"/>
    <x:mergeCell ref="A40:B40"/>
    <x:mergeCell ref="C40:I40"/>
    <x:mergeCell ref="A41:B41"/>
    <x:mergeCell ref="C41:I41"/>
    <x:mergeCell ref="A42:B42"/>
    <x:mergeCell ref="C42:I42"/>
    <x:mergeCell ref="A43:B43"/>
    <x:mergeCell ref="C43:I43"/>
    <x:mergeCell ref="A44:B44"/>
    <x:mergeCell ref="C44:I44"/>
    <x:mergeCell ref="A45:B45"/>
    <x:mergeCell ref="C45:I45"/>
    <x:mergeCell ref="A46:B46"/>
    <x:mergeCell ref="C46:I46"/>
    <x:mergeCell ref="A47:B47"/>
    <x:mergeCell ref="C47:I47"/>
    <x:mergeCell ref="A48:B48"/>
    <x:mergeCell ref="C48:I48"/>
  </x:mergeCells>
  <x:pageMargins left="0.7" right="0.7" top="0.75" bottom="0.75" header="0.3" footer="0.3"/>
</x:worksheet>
</file>